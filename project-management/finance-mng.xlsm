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y Drive\03-Areas\finance\"/>
    </mc:Choice>
  </mc:AlternateContent>
  <xr:revisionPtr revIDLastSave="0" documentId="13_ncr:1_{81F8EAD6-0E95-4685-B918-B7975A9465A5}" xr6:coauthVersionLast="47" xr6:coauthVersionMax="47" xr10:uidLastSave="{00000000-0000-0000-0000-000000000000}"/>
  <bookViews>
    <workbookView xWindow="-120" yWindow="-120" windowWidth="29040" windowHeight="16440" tabRatio="714" xr2:uid="{ABFC4047-2B0A-41DD-9D74-16CAFED06B90}"/>
  </bookViews>
  <sheets>
    <sheet name="dashboard" sheetId="27" r:id="rId1"/>
    <sheet name="transactions" sheetId="29" r:id="rId2"/>
    <sheet name="debts" sheetId="34" r:id="rId3"/>
    <sheet name="finance" sheetId="16" r:id="rId4"/>
    <sheet name="database" sheetId="33" r:id="rId5"/>
  </sheets>
  <definedNames>
    <definedName name="_xlnm._FilterDatabase" localSheetId="0" hidden="1">dashboard!$P$29:$T$42</definedName>
    <definedName name="_xlnm._FilterDatabase" localSheetId="3" hidden="1">finance!$B$2:$D$3</definedName>
    <definedName name="_xlnm._FilterDatabase" localSheetId="1" hidden="1">transactions!$B$1199:$B$1199</definedName>
    <definedName name="_xlcn.WorksheetConnection_Finance6.9.xlsxdebt1" hidden="1">debt[]</definedName>
    <definedName name="_xlcn.WorksheetConnection_Finance6.9.xlsxfund_certs1" hidden="1">fund_certs[]</definedName>
    <definedName name="_xlcn.WorksheetConnection_Finance6.9.xlsxtransactions1" hidden="1">transactions[]</definedName>
    <definedName name="_xlcn.WorksheetConnection_Financialv1.1.xlsxSPT" localSheetId="3" hidden="1">#REF!</definedName>
    <definedName name="_xlcn.WorksheetConnection_Financialv1.1.xlsxSPT" hidden="1">#REF!</definedName>
    <definedName name="_xlcn.WorksheetConnection_Financialv1.1.xlsxSPT_8" localSheetId="3" hidden="1">#REF!</definedName>
    <definedName name="_xlcn.WorksheetConnection_Financialv1.1.xlsxSPT_8" hidden="1">#REF!</definedName>
    <definedName name="_xlcn.WorksheetConnection_Financialv1.1.xlsxTable8" localSheetId="3" hidden="1">#REF!</definedName>
    <definedName name="_xlcn.WorksheetConnection_Financialv1.1.xlsxTable8" hidden="1">#REF!</definedName>
    <definedName name="_xlnm.Criteria" localSheetId="0">dashboard!$P$30:$P$42</definedName>
  </definedNames>
  <calcPr calcId="191029"/>
  <pivotCaches>
    <pivotCache cacheId="242" r:id="rId6"/>
    <pivotCache cacheId="341" r:id="rId7"/>
    <pivotCache cacheId="344" r:id="rId8"/>
    <pivotCache cacheId="347" r:id="rId9"/>
    <pivotCache cacheId="350" r:id="rId10"/>
    <pivotCache cacheId="353" r:id="rId11"/>
    <pivotCache cacheId="356" r:id="rId12"/>
    <pivotCache cacheId="359" r:id="rId13"/>
    <pivotCache cacheId="362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nsactions" name="transactions" connection="WorksheetConnection_Finance 6.9.xlsx!transactions"/>
          <x15:modelTable id="fund_certs" name="fund_certs" connection="WorksheetConnection_Finance 6.9.xlsx!fund_certs"/>
          <x15:modelTable id="debt" name="debt" connection="WorksheetConnection_Finance 6.9.xlsx!deb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97" i="29" l="1"/>
  <c r="B1196" i="29"/>
  <c r="B1195" i="29"/>
  <c r="B1194" i="29"/>
  <c r="B1193" i="29"/>
  <c r="B1192" i="29"/>
  <c r="B1191" i="29"/>
  <c r="B1190" i="29"/>
  <c r="B1189" i="29"/>
  <c r="B1188" i="29"/>
  <c r="B1187" i="29"/>
  <c r="B1186" i="29"/>
  <c r="B1185" i="29"/>
  <c r="B1184" i="29"/>
  <c r="B1183" i="29"/>
  <c r="B1226" i="29"/>
  <c r="B1182" i="29"/>
  <c r="B1181" i="29"/>
  <c r="B1180" i="29"/>
  <c r="B1225" i="29"/>
  <c r="B1179" i="29"/>
  <c r="B1178" i="29"/>
  <c r="B1177" i="29"/>
  <c r="B1176" i="29"/>
  <c r="B1175" i="29"/>
  <c r="B1174" i="29"/>
  <c r="C1174" i="29"/>
  <c r="B15" i="34"/>
  <c r="B1224" i="29"/>
  <c r="B1173" i="29"/>
  <c r="B1172" i="29"/>
  <c r="B1223" i="29"/>
  <c r="B1171" i="29"/>
  <c r="B1222" i="29"/>
  <c r="B1170" i="29"/>
  <c r="B1169" i="29"/>
  <c r="B1168" i="29"/>
  <c r="B1221" i="29"/>
  <c r="B1220" i="29"/>
  <c r="C8" i="29"/>
  <c r="B1219" i="29"/>
  <c r="B1218" i="29"/>
  <c r="B1217" i="29"/>
  <c r="B1216" i="29"/>
  <c r="B1215" i="29"/>
  <c r="C9" i="29"/>
  <c r="B1167" i="29"/>
  <c r="B1166" i="29"/>
  <c r="B1165" i="29"/>
  <c r="B1164" i="29"/>
  <c r="C1163" i="29"/>
  <c r="B1163" i="29"/>
  <c r="B1162" i="29"/>
  <c r="B1161" i="29"/>
  <c r="B1160" i="29"/>
  <c r="B1214" i="29"/>
  <c r="B1159" i="29"/>
  <c r="G47" i="16"/>
  <c r="B1213" i="29"/>
  <c r="B1212" i="29"/>
  <c r="B1211" i="29"/>
  <c r="B1210" i="29"/>
  <c r="B1158" i="29"/>
  <c r="B1157" i="29"/>
  <c r="B1156" i="29"/>
  <c r="B1155" i="29"/>
  <c r="G49" i="16"/>
  <c r="B1154" i="29"/>
  <c r="B1153" i="29"/>
  <c r="B1152" i="29"/>
  <c r="B1209" i="29"/>
  <c r="B1151" i="29"/>
  <c r="J55" i="33"/>
  <c r="I8" i="33"/>
  <c r="I9" i="33" s="1"/>
  <c r="I10" i="33" s="1"/>
  <c r="I11" i="33" s="1"/>
  <c r="I12" i="33" s="1"/>
  <c r="I13" i="33" s="1"/>
  <c r="I14" i="33" s="1"/>
  <c r="I15" i="33" s="1"/>
  <c r="I16" i="33" s="1"/>
  <c r="I17" i="33" s="1"/>
  <c r="I18" i="33" s="1"/>
  <c r="I19" i="33" s="1"/>
  <c r="I20" i="33" s="1"/>
  <c r="I21" i="33" s="1"/>
  <c r="I22" i="33" s="1"/>
  <c r="I23" i="33" s="1"/>
  <c r="I24" i="33" s="1"/>
  <c r="I25" i="33" s="1"/>
  <c r="I26" i="33" s="1"/>
  <c r="I27" i="33" s="1"/>
  <c r="I28" i="33" s="1"/>
  <c r="I29" i="33" s="1"/>
  <c r="I30" i="33" s="1"/>
  <c r="I31" i="33" s="1"/>
  <c r="I32" i="33" s="1"/>
  <c r="I33" i="33" s="1"/>
  <c r="I34" i="33" s="1"/>
  <c r="I35" i="33" s="1"/>
  <c r="I36" i="33" s="1"/>
  <c r="I37" i="33" s="1"/>
  <c r="I38" i="33" s="1"/>
  <c r="I39" i="33" s="1"/>
  <c r="I40" i="33" s="1"/>
  <c r="I41" i="33" s="1"/>
  <c r="I42" i="33" s="1"/>
  <c r="I43" i="33" s="1"/>
  <c r="I44" i="33" s="1"/>
  <c r="I45" i="33" s="1"/>
  <c r="I46" i="33" s="1"/>
  <c r="I47" i="33" s="1"/>
  <c r="I48" i="33" s="1"/>
  <c r="I49" i="33" s="1"/>
  <c r="I50" i="33" s="1"/>
  <c r="I51" i="33" s="1"/>
  <c r="I52" i="33" s="1"/>
  <c r="I53" i="33" s="1"/>
  <c r="I54" i="33" s="1"/>
  <c r="I55" i="33" s="1"/>
  <c r="B1208" i="29"/>
  <c r="B1207" i="29"/>
  <c r="B1150" i="29"/>
  <c r="B1206" i="29"/>
  <c r="B1149" i="29"/>
  <c r="B1148" i="29"/>
  <c r="B1147" i="29"/>
  <c r="B1146" i="29"/>
  <c r="B1145" i="29"/>
  <c r="B1144" i="29"/>
  <c r="B1143" i="29"/>
  <c r="B1201" i="29"/>
  <c r="B1205" i="29"/>
  <c r="B1204" i="29"/>
  <c r="B1203" i="29"/>
  <c r="B1202" i="29"/>
  <c r="F7" i="33" l="1"/>
  <c r="F8" i="33" s="1"/>
  <c r="F9" i="33" s="1"/>
  <c r="F10" i="33" s="1"/>
  <c r="F11" i="33" s="1"/>
  <c r="F12" i="33" s="1"/>
  <c r="F13" i="33" s="1"/>
  <c r="F14" i="33" s="1"/>
  <c r="F15" i="33" s="1"/>
  <c r="F16" i="33" s="1"/>
  <c r="F17" i="33" s="1"/>
  <c r="F18" i="33" s="1"/>
  <c r="F19" i="33" s="1"/>
  <c r="F20" i="33" s="1"/>
  <c r="F21" i="33" s="1"/>
  <c r="F22" i="33" s="1"/>
  <c r="F23" i="33" s="1"/>
  <c r="F24" i="33" s="1"/>
  <c r="F25" i="33" s="1"/>
  <c r="F26" i="33" s="1"/>
  <c r="F27" i="33" s="1"/>
  <c r="F28" i="33" s="1"/>
  <c r="F29" i="33" s="1"/>
  <c r="F30" i="33" s="1"/>
  <c r="F31" i="33" s="1"/>
  <c r="F32" i="33" s="1"/>
  <c r="F33" i="33" s="1"/>
  <c r="F34" i="33" s="1"/>
  <c r="F35" i="33" s="1"/>
  <c r="F36" i="33" s="1"/>
  <c r="F37" i="33" s="1"/>
  <c r="F38" i="33" s="1"/>
  <c r="F39" i="33" s="1"/>
  <c r="F40" i="33" s="1"/>
  <c r="F41" i="33" s="1"/>
  <c r="F42" i="33" s="1"/>
  <c r="F43" i="33" s="1"/>
  <c r="F44" i="33" s="1"/>
  <c r="F45" i="33" s="1"/>
  <c r="F46" i="33" s="1"/>
  <c r="F47" i="33" s="1"/>
  <c r="F48" i="33" s="1"/>
  <c r="F49" i="33" s="1"/>
  <c r="F50" i="33" s="1"/>
  <c r="F51" i="33" s="1"/>
  <c r="F52" i="33" s="1"/>
  <c r="F53" i="33" s="1"/>
  <c r="F54" i="33" s="1"/>
  <c r="F55" i="33" s="1"/>
  <c r="P42" i="27"/>
  <c r="P41" i="27" s="1"/>
  <c r="P40" i="27" s="1"/>
  <c r="P39" i="27" s="1"/>
  <c r="P38" i="27" s="1"/>
  <c r="P37" i="27" s="1"/>
  <c r="P36" i="27" s="1"/>
  <c r="P35" i="27" s="1"/>
  <c r="P34" i="27" s="1"/>
  <c r="P33" i="27" s="1"/>
  <c r="P32" i="27" s="1"/>
  <c r="P31" i="27" s="1"/>
  <c r="Q31" i="27" s="1"/>
  <c r="P30" i="27" l="1"/>
  <c r="Q30" i="27" s="1"/>
  <c r="R42" i="27"/>
  <c r="R41" i="27"/>
  <c r="R39" i="27"/>
  <c r="R38" i="27"/>
  <c r="Q42" i="27"/>
  <c r="R37" i="27"/>
  <c r="Q41" i="27"/>
  <c r="R40" i="27"/>
  <c r="R36" i="27"/>
  <c r="Q40" i="27"/>
  <c r="R35" i="27"/>
  <c r="Q39" i="27"/>
  <c r="R34" i="27"/>
  <c r="Q38" i="27"/>
  <c r="R33" i="27"/>
  <c r="Q37" i="27"/>
  <c r="R32" i="27"/>
  <c r="Q36" i="27"/>
  <c r="R31" i="27"/>
  <c r="S31" i="27" s="1"/>
  <c r="Q35" i="27"/>
  <c r="Q34" i="27"/>
  <c r="Q33" i="27"/>
  <c r="Q32" i="27"/>
  <c r="H44" i="16"/>
  <c r="H45" i="16"/>
  <c r="H46" i="16"/>
  <c r="H43" i="16"/>
  <c r="F22" i="27"/>
  <c r="F21" i="27"/>
  <c r="E2" i="34"/>
  <c r="E3" i="34"/>
  <c r="R30" i="27" l="1"/>
  <c r="T30" i="27" s="1"/>
  <c r="S42" i="27"/>
  <c r="T42" i="27"/>
  <c r="S34" i="27"/>
  <c r="T34" i="27"/>
  <c r="S35" i="27"/>
  <c r="T35" i="27"/>
  <c r="T36" i="27"/>
  <c r="S36" i="27"/>
  <c r="S41" i="27"/>
  <c r="T41" i="27"/>
  <c r="S37" i="27"/>
  <c r="T37" i="27"/>
  <c r="T38" i="27"/>
  <c r="S38" i="27"/>
  <c r="T39" i="27"/>
  <c r="S39" i="27"/>
  <c r="S32" i="27"/>
  <c r="T32" i="27"/>
  <c r="T40" i="27"/>
  <c r="S40" i="27"/>
  <c r="T31" i="27"/>
  <c r="T33" i="27"/>
  <c r="S33" i="27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I44" i="16"/>
  <c r="I43" i="16"/>
  <c r="I45" i="16"/>
  <c r="C10" i="29"/>
  <c r="C7" i="29"/>
  <c r="C12" i="29"/>
  <c r="C11" i="29"/>
  <c r="G54" i="16"/>
  <c r="D9" i="29" l="1"/>
  <c r="K55" i="33"/>
  <c r="S30" i="27"/>
  <c r="I54" i="16"/>
  <c r="H54" i="16"/>
  <c r="I49" i="16"/>
  <c r="H49" i="16"/>
  <c r="C17" i="16"/>
  <c r="C8" i="16" s="1"/>
  <c r="G53" i="16"/>
  <c r="G45" i="16"/>
  <c r="F83" i="16"/>
  <c r="G83" i="16" s="1"/>
  <c r="G52" i="16"/>
  <c r="G51" i="16"/>
  <c r="F82" i="16"/>
  <c r="G82" i="16" s="1"/>
  <c r="G50" i="16"/>
  <c r="G48" i="16"/>
  <c r="F81" i="16"/>
  <c r="G81" i="16" s="1"/>
  <c r="G43" i="16"/>
  <c r="E7" i="16" s="1"/>
  <c r="C43" i="16"/>
  <c r="C55" i="16" s="1"/>
  <c r="F80" i="16"/>
  <c r="G80" i="16" s="1"/>
  <c r="F79" i="16"/>
  <c r="G79" i="16" s="1"/>
  <c r="F78" i="16"/>
  <c r="G78" i="16" s="1"/>
  <c r="G46" i="16"/>
  <c r="C7" i="16"/>
  <c r="G7" i="16"/>
  <c r="G8" i="16"/>
  <c r="C9" i="16"/>
  <c r="C10" i="16"/>
  <c r="G10" i="16"/>
  <c r="G44" i="16"/>
  <c r="F75" i="16"/>
  <c r="G75" i="16" s="1"/>
  <c r="F77" i="16"/>
  <c r="G77" i="16" s="1"/>
  <c r="F76" i="16"/>
  <c r="G76" i="16" s="1"/>
  <c r="D46" i="16"/>
  <c r="F60" i="16"/>
  <c r="G60" i="16" s="1"/>
  <c r="F61" i="16"/>
  <c r="G61" i="16" s="1"/>
  <c r="F62" i="16"/>
  <c r="G62" i="16" s="1"/>
  <c r="F63" i="16"/>
  <c r="G63" i="16" s="1"/>
  <c r="F64" i="16"/>
  <c r="G64" i="16" s="1"/>
  <c r="F65" i="16"/>
  <c r="G65" i="16" s="1"/>
  <c r="F66" i="16"/>
  <c r="G66" i="16" s="1"/>
  <c r="F67" i="16"/>
  <c r="G67" i="16" s="1"/>
  <c r="F68" i="16"/>
  <c r="G68" i="16" s="1"/>
  <c r="F69" i="16"/>
  <c r="G69" i="16" s="1"/>
  <c r="F70" i="16"/>
  <c r="G70" i="16" s="1"/>
  <c r="F71" i="16"/>
  <c r="G71" i="16" s="1"/>
  <c r="F72" i="16"/>
  <c r="G72" i="16" s="1"/>
  <c r="F73" i="16"/>
  <c r="G73" i="16" s="1"/>
  <c r="F74" i="16"/>
  <c r="G74" i="16" s="1"/>
  <c r="F59" i="16"/>
  <c r="G59" i="16" s="1"/>
  <c r="E84" i="16"/>
  <c r="E10" i="16"/>
  <c r="G9" i="16"/>
  <c r="I84" i="16"/>
  <c r="I50" i="16" l="1"/>
  <c r="H50" i="16"/>
  <c r="I48" i="16"/>
  <c r="H48" i="16"/>
  <c r="I51" i="16"/>
  <c r="H51" i="16"/>
  <c r="I52" i="16"/>
  <c r="H52" i="16"/>
  <c r="I47" i="16"/>
  <c r="H47" i="16"/>
  <c r="I53" i="16"/>
  <c r="H53" i="16"/>
  <c r="F20" i="27"/>
  <c r="D55" i="16"/>
  <c r="I46" i="16"/>
  <c r="C19" i="16"/>
  <c r="D18" i="16" s="1"/>
  <c r="I10" i="16"/>
  <c r="E8" i="16"/>
  <c r="I7" i="16"/>
  <c r="K7" i="16" s="1"/>
  <c r="H10" i="16" l="1"/>
  <c r="K10" i="16"/>
  <c r="D10" i="16"/>
  <c r="F10" i="16"/>
  <c r="D7" i="16"/>
  <c r="H7" i="16"/>
  <c r="I8" i="16"/>
  <c r="F7" i="16"/>
  <c r="M19" i="27" s="1"/>
  <c r="E9" i="16"/>
  <c r="M22" i="27"/>
  <c r="D16" i="16"/>
  <c r="D17" i="16"/>
  <c r="D15" i="16"/>
  <c r="D8" i="29"/>
  <c r="D12" i="29"/>
  <c r="D11" i="29"/>
  <c r="C13" i="29"/>
  <c r="F18" i="27" s="1"/>
  <c r="D7" i="29"/>
  <c r="D10" i="29"/>
  <c r="L7" i="27" l="1" a="1"/>
  <c r="F8" i="16"/>
  <c r="M20" i="27" s="1"/>
  <c r="K8" i="16"/>
  <c r="D8" i="16"/>
  <c r="H8" i="16"/>
  <c r="I9" i="16"/>
  <c r="K9" i="16" s="1"/>
  <c r="I55" i="16"/>
  <c r="F19" i="27" s="1"/>
  <c r="D19" i="16"/>
  <c r="D13" i="29"/>
  <c r="M13" i="27" l="1"/>
  <c r="N13" i="27"/>
  <c r="L7" i="27"/>
  <c r="F23" i="27"/>
  <c r="G55" i="33"/>
  <c r="D9" i="16"/>
  <c r="H9" i="16"/>
  <c r="F9" i="16"/>
  <c r="M21" i="27" s="1"/>
  <c r="I11" i="16"/>
  <c r="G23" i="27" l="1"/>
  <c r="M23" i="27"/>
  <c r="G18" i="27" l="1"/>
  <c r="G22" i="27"/>
  <c r="G21" i="27"/>
  <c r="G20" i="27"/>
  <c r="G19" i="27"/>
  <c r="N22" i="27"/>
  <c r="N21" i="27"/>
  <c r="N19" i="27"/>
  <c r="N20" i="27"/>
  <c r="N23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3000000}" keepAlive="1" name="Query - Budget" description="Connection to the 'Budget' query in the workbook." type="5" refreshedVersion="8" background="1" saveData="1">
    <dbPr connection="Provider=Microsoft.Mashup.OleDb.1;Data Source=$Workbook$;Location=Budget;Extended Properties=&quot;&quot;" command="SELECT * FROM [Budget]"/>
  </connection>
  <connection id="2" xr16:uid="{00000000-0015-0000-FFFF-FFFF04000000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3" xr16:uid="{00000000-0015-0000-FFFF-FFFF05000000}" keepAlive="1" name="Query - Transaction_Tracking" description="Connection to the 'Transaction_Tracking' query in the workbook." type="5" refreshedVersion="8" background="1" saveData="1">
    <dbPr connection="Provider=Microsoft.Mashup.OleDb.1;Data Source=$Workbook$;Location=Transaction_Tracking;Extended Properties=&quot;&quot;" command="SELECT * FROM [Transaction_Tracking]"/>
  </connection>
  <connection id="4" xr16:uid="{FB633591-A318-4312-A8F1-2B4E54DE788C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D9EDCE39-B371-44EA-AA0F-7BD26DEF949F}" name="WorksheetConnection_Finance 6.9.xlsx!debt" type="102" refreshedVersion="8" minRefreshableVersion="5">
    <extLst>
      <ext xmlns:x15="http://schemas.microsoft.com/office/spreadsheetml/2010/11/main" uri="{DE250136-89BD-433C-8126-D09CA5730AF9}">
        <x15:connection id="debt" autoDelete="1">
          <x15:rangePr sourceName="_xlcn.WorksheetConnection_Finance6.9.xlsxdebt1"/>
        </x15:connection>
      </ext>
    </extLst>
  </connection>
  <connection id="6" xr16:uid="{70F5C0C1-17FA-493C-8A1A-D0BFA769F0BC}" name="WorksheetConnection_Finance 6.9.xlsx!fund_certs" type="102" refreshedVersion="8" minRefreshableVersion="5">
    <extLst>
      <ext xmlns:x15="http://schemas.microsoft.com/office/spreadsheetml/2010/11/main" uri="{DE250136-89BD-433C-8126-D09CA5730AF9}">
        <x15:connection id="fund_certs">
          <x15:rangePr sourceName="_xlcn.WorksheetConnection_Finance6.9.xlsxfund_certs1"/>
        </x15:connection>
      </ext>
    </extLst>
  </connection>
  <connection id="7" xr16:uid="{4F925B0B-52F4-48AC-BC95-2338F3AA9552}" name="WorksheetConnection_Finance 6.9.xlsx!transactions" type="102" refreshedVersion="8" minRefreshableVersion="5">
    <extLst>
      <ext xmlns:x15="http://schemas.microsoft.com/office/spreadsheetml/2010/11/main" uri="{DE250136-89BD-433C-8126-D09CA5730AF9}">
        <x15:connection id="transactions">
          <x15:rangePr sourceName="_xlcn.WorksheetConnection_Finance6.9.xlsxtransaction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transactions].[type].&amp;[income]}"/>
    <s v="{[transactions].[this month].&amp;[True]}"/>
    <s v="{[transactions].[type].&amp;[expense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<sst xmlns="http://schemas.openxmlformats.org/spreadsheetml/2006/main" count="5199" uniqueCount="153">
  <si>
    <t>Type</t>
  </si>
  <si>
    <t>Total</t>
  </si>
  <si>
    <t>1 tháng</t>
  </si>
  <si>
    <t>1 năm</t>
  </si>
  <si>
    <t>DCDS</t>
  </si>
  <si>
    <t>SSISCA</t>
  </si>
  <si>
    <t>VESAF</t>
  </si>
  <si>
    <t>VFF</t>
  </si>
  <si>
    <t>Coral Blush Serif</t>
  </si>
  <si>
    <t>DFVN CALATHEA</t>
  </si>
  <si>
    <t>Cascadia Mono SemiBold</t>
  </si>
  <si>
    <t>3 tháng</t>
  </si>
  <si>
    <t>SVN-Sansation</t>
  </si>
  <si>
    <t>5 tháng</t>
  </si>
  <si>
    <t>Montserrat Light</t>
  </si>
  <si>
    <t>6 tháng</t>
  </si>
  <si>
    <t>Raleway ExtraLight</t>
  </si>
  <si>
    <t>9 tháng</t>
  </si>
  <si>
    <t>2 năm</t>
  </si>
  <si>
    <t>5 năm</t>
  </si>
  <si>
    <t>VCBF-FIF</t>
  </si>
  <si>
    <t>VIBF</t>
  </si>
  <si>
    <t>CEO5</t>
  </si>
  <si>
    <t>Font List</t>
  </si>
  <si>
    <t>D A S H B O A R D</t>
  </si>
  <si>
    <t>VCBF-MGF</t>
  </si>
  <si>
    <t>Row Labels</t>
  </si>
  <si>
    <t>Grand Total</t>
  </si>
  <si>
    <t>date</t>
  </si>
  <si>
    <t>amount</t>
  </si>
  <si>
    <t>wallet</t>
  </si>
  <si>
    <t>type</t>
  </si>
  <si>
    <t>category</t>
  </si>
  <si>
    <t>group</t>
  </si>
  <si>
    <t>income</t>
  </si>
  <si>
    <t>employment</t>
  </si>
  <si>
    <t>assets</t>
  </si>
  <si>
    <t>other</t>
  </si>
  <si>
    <t>essentials</t>
  </si>
  <si>
    <t>base salary &amp; allowances</t>
  </si>
  <si>
    <t>bonus &amp; commission</t>
  </si>
  <si>
    <t>side income</t>
  </si>
  <si>
    <t>interest &amp; bonds</t>
  </si>
  <si>
    <t>dividends &amp; profits</t>
  </si>
  <si>
    <t>property rental</t>
  </si>
  <si>
    <t>gifts &amp; inheritance</t>
  </si>
  <si>
    <t>asset liquidation</t>
  </si>
  <si>
    <t>other windfalls</t>
  </si>
  <si>
    <t>housing</t>
  </si>
  <si>
    <t>utilities</t>
  </si>
  <si>
    <t>food &amp; groceries</t>
  </si>
  <si>
    <t>basic transit</t>
  </si>
  <si>
    <t>healthcare</t>
  </si>
  <si>
    <t>personal &amp; leisure</t>
  </si>
  <si>
    <t>dining out</t>
  </si>
  <si>
    <t>personal shopping</t>
  </si>
  <si>
    <t>entertainment &amp; hobbies</t>
  </si>
  <si>
    <t>travel &amp; vacation</t>
  </si>
  <si>
    <t>obligations &amp; transfers</t>
  </si>
  <si>
    <t>debt repayment</t>
  </si>
  <si>
    <t>taxes &amp; fees</t>
  </si>
  <si>
    <t>family &amp; relations</t>
  </si>
  <si>
    <t>religion &amp; charity</t>
  </si>
  <si>
    <t>savings &amp; investing</t>
  </si>
  <si>
    <t>emergency fund</t>
  </si>
  <si>
    <t>investments</t>
  </si>
  <si>
    <t>transactions</t>
  </si>
  <si>
    <t>wallets</t>
  </si>
  <si>
    <t>balance</t>
  </si>
  <si>
    <t>rate</t>
  </si>
  <si>
    <t>t r a n s a c t i o n s</t>
  </si>
  <si>
    <t>transfers</t>
  </si>
  <si>
    <t>from</t>
  </si>
  <si>
    <t>to</t>
  </si>
  <si>
    <t>batch</t>
  </si>
  <si>
    <t>person</t>
  </si>
  <si>
    <t>note</t>
  </si>
  <si>
    <t>lend</t>
  </si>
  <si>
    <t>borrow</t>
  </si>
  <si>
    <t>collect</t>
  </si>
  <si>
    <t>repay</t>
  </si>
  <si>
    <t>write-off lend</t>
  </si>
  <si>
    <t>write-off borrow</t>
  </si>
  <si>
    <t>description</t>
  </si>
  <si>
    <t>cho vay</t>
  </si>
  <si>
    <t>đi vay</t>
  </si>
  <si>
    <t>thu nợ</t>
  </si>
  <si>
    <t>trả nợ</t>
  </si>
  <si>
    <t>xóa nợ vay</t>
  </si>
  <si>
    <t>được xóa nợ</t>
  </si>
  <si>
    <t>debt management</t>
  </si>
  <si>
    <t>d e b t s</t>
  </si>
  <si>
    <t>accounts statement</t>
  </si>
  <si>
    <t>funds</t>
  </si>
  <si>
    <t>fund</t>
  </si>
  <si>
    <t>cash</t>
  </si>
  <si>
    <t>saving</t>
  </si>
  <si>
    <t>fund certificates</t>
  </si>
  <si>
    <t>total</t>
  </si>
  <si>
    <t>target</t>
  </si>
  <si>
    <t>process</t>
  </si>
  <si>
    <t>funds cash</t>
  </si>
  <si>
    <t>f i n a n c e</t>
  </si>
  <si>
    <t>savings</t>
  </si>
  <si>
    <t>capital</t>
  </si>
  <si>
    <t>principal</t>
  </si>
  <si>
    <t>term</t>
  </si>
  <si>
    <t>start</t>
  </si>
  <si>
    <t>unlimited</t>
  </si>
  <si>
    <t>emergency</t>
  </si>
  <si>
    <t>health</t>
  </si>
  <si>
    <t>retirement</t>
  </si>
  <si>
    <t>name</t>
  </si>
  <si>
    <t>interest</t>
  </si>
  <si>
    <t>payable</t>
  </si>
  <si>
    <t>reveivable</t>
  </si>
  <si>
    <t>receivable</t>
  </si>
  <si>
    <t>days</t>
  </si>
  <si>
    <t>expense</t>
  </si>
  <si>
    <t>month</t>
  </si>
  <si>
    <t>cash flow</t>
  </si>
  <si>
    <t>savings rate</t>
  </si>
  <si>
    <t>this month</t>
  </si>
  <si>
    <t>TRUE</t>
  </si>
  <si>
    <t>stock</t>
  </si>
  <si>
    <t>bond</t>
  </si>
  <si>
    <t>months statistics</t>
  </si>
  <si>
    <t>months</t>
  </si>
  <si>
    <t>assest total</t>
  </si>
  <si>
    <t>flow</t>
  </si>
  <si>
    <t>type of fund</t>
  </si>
  <si>
    <t>fund performance</t>
  </si>
  <si>
    <t>acount</t>
  </si>
  <si>
    <t>%cash</t>
  </si>
  <si>
    <t>%saving</t>
  </si>
  <si>
    <t>%fund cert</t>
  </si>
  <si>
    <t>fund cert</t>
  </si>
  <si>
    <t>repairs &amp; maintenance</t>
  </si>
  <si>
    <t>durable goods</t>
  </si>
  <si>
    <t>classification</t>
  </si>
  <si>
    <t>d a t a b a s e</t>
  </si>
  <si>
    <t>%balance</t>
  </si>
  <si>
    <t>reimbursement</t>
  </si>
  <si>
    <t>family allowance</t>
  </si>
  <si>
    <t>timo</t>
  </si>
  <si>
    <t>timo - budget month</t>
  </si>
  <si>
    <t>timo - hidden</t>
  </si>
  <si>
    <t>mb bank</t>
  </si>
  <si>
    <t>vietcombank</t>
  </si>
  <si>
    <t>msb</t>
  </si>
  <si>
    <t>shopee pay</t>
  </si>
  <si>
    <t>idk</t>
  </si>
  <si>
    <t>Nguyễn Văn Tiến Huy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</si>
</sst>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-* #,##0.00\ &quot;₫&quot;_-;\-* #,##0.00\ &quot;₫&quot;_-;_-* &quot;-&quot;??\ &quot;₫&quot;_-;_-@_-"/>
    <numFmt numFmtId="164" formatCode="0.000%"/>
    <numFmt numFmtId="165" formatCode="0.0%"/>
    <numFmt numFmtId="166" formatCode="\ #\ ##0.000\ [$VND]"/>
    <numFmt numFmtId="167" formatCode="[$-1010409]dd\ mmm\ yy;@"/>
    <numFmt numFmtId="168" formatCode="#,##0.000\ &quot;₫&quot;"/>
    <numFmt numFmtId="169" formatCode="[$-1010409]mmm\ yy"/>
    <numFmt numFmtId="170" formatCode="[$-1010409]dd\ mmm\ yy"/>
    <numFmt numFmtId="171" formatCode="[$-1010409]mmm"/>
    <numFmt numFmtId="172" formatCode="_-* #,##0.000\ &quot;₫&quot;_-;\-* #,##0.000\ &quot;₫&quot;_-;_-* &quot;-&quot;???\ &quot;₫&quot;_-;_-@_-"/>
    <numFmt numFmtId="173" formatCode="_-* #,##0.000\ &quot;₫&quot;_-;\-* #,##0.000\ &quot;₫&quot;_-;_-* &quot;-&quot;??\ &quot;₫&quot;_-;_-@_-"/>
    <numFmt numFmtId="174" formatCode="[$-1010409]mmm\ yyyy"/>
    <numFmt numFmtId="175" formatCode="_-* 0.00%;\-* 0.00%;_-* &quot;-&quot;?%"/>
  </numFmts>
  <fonts count="32">
    <font>
      <sz val="11"/>
      <color theme="0"/>
      <name val="Montserrat"/>
    </font>
    <font>
      <sz val="11"/>
      <color theme="0"/>
      <name val="Arial"/>
      <family val="2"/>
      <scheme val="minor"/>
    </font>
    <font>
      <b/>
      <sz val="11"/>
      <color rgb="FFFFFFFF"/>
      <name val="Coral Blush Serif"/>
      <family val="3"/>
    </font>
    <font>
      <sz val="11"/>
      <color rgb="FFFFFFFF"/>
      <name val="Kozuka Mincho Pro B"/>
      <family val="1"/>
      <charset val="128"/>
    </font>
    <font>
      <sz val="11"/>
      <color rgb="FFFFFFFF"/>
      <name val="Montserrat Light"/>
    </font>
    <font>
      <sz val="11"/>
      <color rgb="FFFFFFFF"/>
      <name val="Raleway ExtraLight"/>
    </font>
    <font>
      <sz val="11"/>
      <color rgb="FFFFFFFF"/>
      <name val="SVN-Sansation"/>
      <family val="1"/>
    </font>
    <font>
      <sz val="24"/>
      <color theme="0"/>
      <name val="Coral Blush Serif"/>
      <family val="3"/>
    </font>
    <font>
      <sz val="8"/>
      <name val="Arial"/>
      <family val="2"/>
      <scheme val="minor"/>
    </font>
    <font>
      <sz val="11"/>
      <color theme="0"/>
      <name val="Montserrat Light"/>
    </font>
    <font>
      <sz val="11"/>
      <color theme="1"/>
      <name val="Arial"/>
      <family val="2"/>
      <scheme val="minor"/>
    </font>
    <font>
      <sz val="11"/>
      <color theme="0"/>
      <name val="Cascadia Mono SemiBold"/>
      <family val="3"/>
    </font>
    <font>
      <sz val="14"/>
      <color rgb="FFFFFFFF"/>
      <name val="DFVN CALATHEA"/>
      <family val="3"/>
    </font>
    <font>
      <sz val="10"/>
      <color theme="0"/>
      <name val="Montserrat Light"/>
    </font>
    <font>
      <b/>
      <sz val="11"/>
      <color theme="0"/>
      <name val="SVN-Sansation"/>
      <family val="1"/>
    </font>
    <font>
      <b/>
      <sz val="11"/>
      <name val="SVN-Sansation"/>
      <family val="1"/>
    </font>
    <font>
      <b/>
      <sz val="11"/>
      <color theme="1"/>
      <name val="SVN-Sansation"/>
      <family val="1"/>
    </font>
    <font>
      <b/>
      <sz val="10"/>
      <color rgb="FF3D325D"/>
      <name val="SVN-Sansation"/>
      <family val="1"/>
    </font>
    <font>
      <b/>
      <sz val="10"/>
      <color theme="0"/>
      <name val="SVN-Sansation"/>
      <family val="1"/>
    </font>
    <font>
      <b/>
      <sz val="11"/>
      <color rgb="FF7DE37F"/>
      <name val="SVN-Sansation"/>
      <family val="1"/>
    </font>
    <font>
      <b/>
      <sz val="11"/>
      <color rgb="FFFFFFFF"/>
      <name val="SVN-Sansation"/>
      <family val="1"/>
    </font>
    <font>
      <b/>
      <sz val="11"/>
      <color theme="1"/>
      <name val="Cascadia Mono SemiBold"/>
      <family val="3"/>
    </font>
    <font>
      <b/>
      <sz val="11"/>
      <color rgb="FFF2B5D4"/>
      <name val="SVN-Sansation"/>
      <family val="1"/>
    </font>
    <font>
      <b/>
      <sz val="11"/>
      <color theme="1"/>
      <name val="SVN-Sansation"/>
      <family val="1"/>
      <charset val="163"/>
    </font>
    <font>
      <b/>
      <sz val="11"/>
      <color theme="0"/>
      <name val="SVN-Sansation"/>
      <family val="1"/>
      <charset val="163"/>
    </font>
    <font>
      <b/>
      <sz val="11"/>
      <color theme="0"/>
      <name val="Montserrat Light"/>
    </font>
    <font>
      <sz val="11"/>
      <color rgb="FFF2B5D4"/>
      <name val="SVN-Sansation"/>
      <family val="1"/>
    </font>
    <font>
      <b/>
      <sz val="14"/>
      <color theme="1"/>
      <name val="Cascadia Mono SemiBold"/>
      <family val="3"/>
    </font>
    <font>
      <b/>
      <sz val="10"/>
      <color rgb="FF000000"/>
      <name val="SVN-Sansation"/>
      <family val="1"/>
    </font>
    <font>
      <b/>
      <sz val="11"/>
      <color rgb="FF4B433B"/>
      <name val="SVN-Sansation"/>
      <family val="1"/>
    </font>
    <font>
      <i/>
      <sz val="10"/>
      <color theme="2" tint="-0.249977111117893"/>
      <name val="Montserrat Light"/>
    </font>
    <font>
      <sz val="11"/>
      <color theme="0"/>
      <name val="Montserrat Light"/>
      <charset val="163"/>
    </font>
  </fonts>
  <fills count="4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BDFF2"/>
        <bgColor indexed="64"/>
      </patternFill>
    </fill>
    <fill>
      <patternFill patternType="solid">
        <fgColor rgb="FFB2F7EF"/>
        <bgColor indexed="64"/>
      </patternFill>
    </fill>
    <fill>
      <patternFill patternType="solid">
        <fgColor rgb="FFEFF7F6"/>
        <bgColor indexed="64"/>
      </patternFill>
    </fill>
    <fill>
      <patternFill patternType="solid">
        <fgColor rgb="FFF7D6E0"/>
        <bgColor indexed="64"/>
      </patternFill>
    </fill>
    <fill>
      <patternFill patternType="solid">
        <fgColor rgb="FFF2B5D4"/>
        <bgColor indexed="64"/>
      </patternFill>
    </fill>
    <fill>
      <patternFill patternType="solid">
        <fgColor rgb="FFBEADFA"/>
        <bgColor indexed="64"/>
      </patternFill>
    </fill>
    <fill>
      <patternFill patternType="solid">
        <fgColor rgb="FFCEC1FB"/>
        <bgColor indexed="64"/>
      </patternFill>
    </fill>
    <fill>
      <patternFill patternType="solid">
        <fgColor rgb="FFDED6FD"/>
        <bgColor indexed="64"/>
      </patternFill>
    </fill>
    <fill>
      <patternFill patternType="solid">
        <fgColor rgb="FFEEEAFE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D4487A"/>
        <bgColor indexed="64"/>
      </patternFill>
    </fill>
    <fill>
      <patternFill patternType="solid">
        <fgColor rgb="FFE1C7E4"/>
        <bgColor indexed="64"/>
      </patternFill>
    </fill>
    <fill>
      <patternFill patternType="solid">
        <fgColor rgb="FFEAD1E4"/>
        <bgColor indexed="64"/>
      </patternFill>
    </fill>
    <fill>
      <patternFill patternType="solid">
        <fgColor rgb="FFF3DEE3"/>
        <bgColor indexed="64"/>
      </patternFill>
    </fill>
    <fill>
      <patternFill patternType="solid">
        <fgColor rgb="FFFFEDE3"/>
        <bgColor indexed="64"/>
      </patternFill>
    </fill>
    <fill>
      <patternFill patternType="solid">
        <fgColor rgb="FFE9D8F9"/>
        <bgColor indexed="64"/>
      </patternFill>
    </fill>
    <fill>
      <patternFill patternType="solid">
        <fgColor rgb="FF907375"/>
        <bgColor indexed="64"/>
      </patternFill>
    </fill>
    <fill>
      <patternFill patternType="solid">
        <fgColor rgb="FF303634"/>
        <bgColor indexed="64"/>
      </patternFill>
    </fill>
    <fill>
      <patternFill patternType="solid">
        <fgColor rgb="FFDCD6D8"/>
        <bgColor indexed="64"/>
      </patternFill>
    </fill>
    <fill>
      <patternFill patternType="solid">
        <fgColor rgb="FF6B594D"/>
        <bgColor indexed="64"/>
      </patternFill>
    </fill>
    <fill>
      <patternFill patternType="solid">
        <fgColor rgb="FFD5C0BF"/>
        <bgColor indexed="64"/>
      </patternFill>
    </fill>
    <fill>
      <patternFill patternType="solid">
        <fgColor rgb="FF3F357E"/>
        <bgColor indexed="64"/>
      </patternFill>
    </fill>
    <fill>
      <patternFill patternType="solid">
        <fgColor rgb="FF5F52A3"/>
        <bgColor indexed="64"/>
      </patternFill>
    </fill>
    <fill>
      <patternFill patternType="solid">
        <fgColor rgb="FF7F70C8"/>
        <bgColor indexed="64"/>
      </patternFill>
    </fill>
    <fill>
      <patternFill patternType="solid">
        <fgColor rgb="FF9E8EEB"/>
        <bgColor indexed="64"/>
      </patternFill>
    </fill>
    <fill>
      <patternFill patternType="solid">
        <fgColor rgb="FFCFC5FC"/>
        <bgColor indexed="64"/>
      </patternFill>
    </fill>
    <fill>
      <patternFill patternType="solid">
        <fgColor rgb="FFDFD9FD"/>
        <bgColor indexed="64"/>
      </patternFill>
    </fill>
    <fill>
      <patternFill patternType="solid">
        <fgColor rgb="FFEAE6F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2FF"/>
        <bgColor indexed="64"/>
      </patternFill>
    </fill>
    <fill>
      <patternFill patternType="solid">
        <bgColor rgb="FFF5FFFA"/>
      </patternFill>
    </fill>
    <fill>
      <patternFill patternType="solid">
        <fgColor rgb="FF000000"/>
        <bgColor rgb="FF000000"/>
      </patternFill>
    </fill>
    <fill>
      <patternFill patternType="solid">
        <fgColor rgb="FFF0A8CC"/>
        <bgColor indexed="64"/>
      </patternFill>
    </fill>
    <fill>
      <patternFill patternType="solid">
        <fgColor rgb="FFAD1F66"/>
        <bgColor indexed="64"/>
      </patternFill>
    </fill>
    <fill>
      <patternFill patternType="solid">
        <fgColor rgb="FFE05299"/>
        <bgColor indexed="64"/>
      </patternFill>
    </fill>
    <fill>
      <patternFill patternType="solid">
        <fgColor rgb="FFFBE9F2"/>
        <bgColor indexed="64"/>
      </patternFill>
    </fill>
    <fill>
      <patternFill patternType="solid">
        <fgColor rgb="FFF7D4E6"/>
        <bgColor indexed="64"/>
      </patternFill>
    </fill>
    <fill>
      <patternFill patternType="solid">
        <fgColor rgb="FFE87DB3"/>
        <bgColor indexed="64"/>
      </patternFill>
    </fill>
    <fill>
      <patternFill patternType="solid">
        <fgColor rgb="FFD92680"/>
        <bgColor indexed="64"/>
      </patternFill>
    </fill>
    <fill>
      <patternFill patternType="solid">
        <fgColor theme="1"/>
        <bgColor rgb="FF000000"/>
      </patternFill>
    </fill>
  </fills>
  <borders count="20">
    <border>
      <left/>
      <right/>
      <top/>
      <bottom/>
      <diagonal/>
    </border>
    <border>
      <left/>
      <right/>
      <top/>
      <bottom style="thin">
        <color rgb="FFF2B5D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rgb="FFF2B5D4"/>
      </right>
      <top/>
      <bottom style="thin">
        <color rgb="FFF2B5D4"/>
      </bottom>
      <diagonal/>
    </border>
    <border>
      <left style="thin">
        <color rgb="FFF2B5D4"/>
      </left>
      <right style="thin">
        <color rgb="FFF2B5D4"/>
      </right>
      <top/>
      <bottom style="thin">
        <color rgb="FFF2B5D4"/>
      </bottom>
      <diagonal/>
    </border>
    <border>
      <left style="thin">
        <color rgb="FFF2B5D4"/>
      </left>
      <right/>
      <top style="thin">
        <color rgb="FFF2B5D4"/>
      </top>
      <bottom/>
      <diagonal/>
    </border>
    <border>
      <left/>
      <right/>
      <top style="thin">
        <color rgb="FFF2B5D4"/>
      </top>
      <bottom/>
      <diagonal/>
    </border>
    <border>
      <left/>
      <right style="thin">
        <color rgb="FFF2B5D4"/>
      </right>
      <top style="thin">
        <color rgb="FFF2B5D4"/>
      </top>
      <bottom/>
      <diagonal/>
    </border>
    <border>
      <left style="thin">
        <color rgb="FFF2B5D4"/>
      </left>
      <right/>
      <top/>
      <bottom/>
      <diagonal/>
    </border>
    <border>
      <left/>
      <right style="thin">
        <color rgb="FFF2B5D4"/>
      </right>
      <top/>
      <bottom/>
      <diagonal/>
    </border>
    <border>
      <left style="thin">
        <color rgb="FFF2B5D4"/>
      </left>
      <right/>
      <top/>
      <bottom style="thin">
        <color rgb="FFF2B5D4"/>
      </bottom>
      <diagonal/>
    </border>
    <border>
      <left style="thin">
        <color rgb="FFF2B5D4"/>
      </left>
      <right style="thin">
        <color rgb="FFF2B5D4"/>
      </right>
      <top style="thin">
        <color rgb="FFF2B5D4"/>
      </top>
      <bottom/>
      <diagonal/>
    </border>
    <border>
      <left style="thin">
        <color rgb="FFF2B5D4"/>
      </left>
      <right style="thin">
        <color rgb="FFF2B5D4"/>
      </right>
      <top/>
      <bottom/>
      <diagonal/>
    </border>
  </borders>
  <cellStyleXfs count="2">
    <xf numFmtId="0" fontId="0" fillId="3" borderId="0"/>
    <xf numFmtId="9" fontId="10" fillId="0" borderId="0" applyFont="0" applyFill="0" applyBorder="0" applyAlignment="0" applyProtection="0"/>
  </cellStyleXfs>
  <cellXfs count="207">
    <xf numFmtId="0" fontId="0" fillId="3" borderId="0" xfId="0"/>
    <xf numFmtId="0" fontId="3" fillId="2" borderId="0" xfId="0" applyFont="1" applyFill="1" applyAlignment="1">
      <alignment horizontal="left"/>
    </xf>
    <xf numFmtId="0" fontId="1" fillId="2" borderId="0" xfId="0" applyFont="1" applyFill="1"/>
    <xf numFmtId="0" fontId="6" fillId="2" borderId="0" xfId="0" applyFont="1" applyFill="1"/>
    <xf numFmtId="0" fontId="1" fillId="3" borderId="0" xfId="0" applyFont="1"/>
    <xf numFmtId="0" fontId="9" fillId="3" borderId="0" xfId="0" applyFont="1"/>
    <xf numFmtId="0" fontId="1" fillId="3" borderId="0" xfId="0" applyFont="1" applyAlignment="1">
      <alignment horizontal="right"/>
    </xf>
    <xf numFmtId="0" fontId="3" fillId="3" borderId="0" xfId="0" applyFont="1"/>
    <xf numFmtId="0" fontId="4" fillId="3" borderId="0" xfId="0" applyFont="1"/>
    <xf numFmtId="0" fontId="7" fillId="2" borderId="0" xfId="0" applyFont="1" applyFill="1" applyAlignment="1">
      <alignment vertical="center"/>
    </xf>
    <xf numFmtId="0" fontId="7" fillId="3" borderId="0" xfId="0" applyFont="1" applyAlignment="1">
      <alignment vertical="center"/>
    </xf>
    <xf numFmtId="0" fontId="14" fillId="3" borderId="0" xfId="0" applyFont="1"/>
    <xf numFmtId="0" fontId="13" fillId="3" borderId="0" xfId="0" applyFont="1"/>
    <xf numFmtId="0" fontId="11" fillId="3" borderId="0" xfId="0" applyFont="1"/>
    <xf numFmtId="168" fontId="9" fillId="3" borderId="0" xfId="0" applyNumberFormat="1" applyFont="1"/>
    <xf numFmtId="170" fontId="9" fillId="3" borderId="0" xfId="0" applyNumberFormat="1" applyFont="1"/>
    <xf numFmtId="0" fontId="7" fillId="2" borderId="0" xfId="0" applyFont="1" applyFill="1" applyAlignment="1">
      <alignment vertical="top"/>
    </xf>
    <xf numFmtId="164" fontId="9" fillId="3" borderId="0" xfId="0" applyNumberFormat="1" applyFont="1"/>
    <xf numFmtId="165" fontId="13" fillId="3" borderId="0" xfId="0" applyNumberFormat="1" applyFont="1"/>
    <xf numFmtId="168" fontId="13" fillId="3" borderId="0" xfId="0" applyNumberFormat="1" applyFont="1"/>
    <xf numFmtId="170" fontId="13" fillId="3" borderId="0" xfId="0" applyNumberFormat="1" applyFont="1" applyAlignment="1">
      <alignment horizontal="right"/>
    </xf>
    <xf numFmtId="170" fontId="9" fillId="3" borderId="0" xfId="0" applyNumberFormat="1" applyFont="1" applyAlignment="1">
      <alignment horizontal="right"/>
    </xf>
    <xf numFmtId="168" fontId="14" fillId="3" borderId="0" xfId="0" applyNumberFormat="1" applyFont="1"/>
    <xf numFmtId="0" fontId="18" fillId="3" borderId="0" xfId="0" applyFont="1"/>
    <xf numFmtId="168" fontId="18" fillId="3" borderId="0" xfId="0" applyNumberFormat="1" applyFont="1"/>
    <xf numFmtId="164" fontId="14" fillId="3" borderId="0" xfId="0" applyNumberFormat="1" applyFont="1" applyAlignment="1">
      <alignment horizontal="right"/>
    </xf>
    <xf numFmtId="10" fontId="1" fillId="3" borderId="0" xfId="0" applyNumberFormat="1" applyFont="1"/>
    <xf numFmtId="168" fontId="1" fillId="3" borderId="0" xfId="0" applyNumberFormat="1" applyFont="1"/>
    <xf numFmtId="164" fontId="18" fillId="3" borderId="0" xfId="0" applyNumberFormat="1" applyFont="1" applyAlignment="1">
      <alignment horizontal="right"/>
    </xf>
    <xf numFmtId="0" fontId="1" fillId="3" borderId="0" xfId="0" applyFont="1" applyAlignment="1">
      <alignment vertical="center"/>
    </xf>
    <xf numFmtId="0" fontId="1" fillId="3" borderId="0" xfId="0" applyFont="1" applyAlignment="1">
      <alignment vertical="center" wrapText="1"/>
    </xf>
    <xf numFmtId="0" fontId="16" fillId="8" borderId="0" xfId="0" applyFont="1" applyFill="1" applyAlignment="1">
      <alignment vertical="center"/>
    </xf>
    <xf numFmtId="0" fontId="16" fillId="8" borderId="0" xfId="0" applyFont="1" applyFill="1" applyAlignment="1">
      <alignment vertical="center" wrapText="1"/>
    </xf>
    <xf numFmtId="0" fontId="7" fillId="2" borderId="0" xfId="0" applyFont="1" applyFill="1" applyAlignment="1">
      <alignment horizontal="left" vertical="top"/>
    </xf>
    <xf numFmtId="168" fontId="1" fillId="2" borderId="0" xfId="0" applyNumberFormat="1" applyFont="1" applyFill="1"/>
    <xf numFmtId="0" fontId="7" fillId="3" borderId="0" xfId="0" applyFont="1" applyAlignment="1">
      <alignment horizontal="left" vertical="center"/>
    </xf>
    <xf numFmtId="0" fontId="1" fillId="3" borderId="5" xfId="0" applyFont="1" applyBorder="1" applyAlignment="1">
      <alignment vertical="center"/>
    </xf>
    <xf numFmtId="0" fontId="1" fillId="3" borderId="6" xfId="0" applyFont="1" applyBorder="1" applyAlignment="1">
      <alignment vertical="center"/>
    </xf>
    <xf numFmtId="168" fontId="19" fillId="3" borderId="8" xfId="0" applyNumberFormat="1" applyFont="1" applyBorder="1" applyAlignment="1">
      <alignment vertical="center" wrapText="1"/>
    </xf>
    <xf numFmtId="10" fontId="16" fillId="3" borderId="8" xfId="0" applyNumberFormat="1" applyFont="1" applyBorder="1" applyAlignment="1">
      <alignment vertical="center"/>
    </xf>
    <xf numFmtId="0" fontId="1" fillId="3" borderId="8" xfId="0" applyFont="1" applyBorder="1" applyAlignment="1">
      <alignment vertical="center"/>
    </xf>
    <xf numFmtId="0" fontId="1" fillId="3" borderId="9" xfId="0" applyFont="1" applyBorder="1" applyAlignment="1">
      <alignment vertical="center"/>
    </xf>
    <xf numFmtId="0" fontId="4" fillId="2" borderId="0" xfId="0" applyFont="1" applyFill="1" applyAlignment="1">
      <alignment vertical="center"/>
    </xf>
    <xf numFmtId="0" fontId="1" fillId="3" borderId="7" xfId="0" applyFont="1" applyBorder="1" applyAlignment="1">
      <alignment vertical="center"/>
    </xf>
    <xf numFmtId="0" fontId="20" fillId="3" borderId="8" xfId="0" applyFont="1" applyBorder="1" applyAlignment="1">
      <alignment vertical="center"/>
    </xf>
    <xf numFmtId="168" fontId="14" fillId="3" borderId="0" xfId="0" applyNumberFormat="1" applyFont="1" applyAlignment="1">
      <alignment vertical="center" wrapText="1"/>
    </xf>
    <xf numFmtId="10" fontId="14" fillId="3" borderId="0" xfId="0" applyNumberFormat="1" applyFont="1" applyAlignment="1">
      <alignment vertical="center"/>
    </xf>
    <xf numFmtId="0" fontId="1" fillId="9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1" fillId="12" borderId="0" xfId="0" applyFont="1" applyFill="1" applyAlignment="1">
      <alignment vertical="center"/>
    </xf>
    <xf numFmtId="0" fontId="1" fillId="13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10" fontId="9" fillId="2" borderId="0" xfId="1" applyNumberFormat="1" applyFont="1" applyFill="1" applyBorder="1" applyAlignment="1">
      <alignment vertical="center"/>
    </xf>
    <xf numFmtId="0" fontId="14" fillId="3" borderId="0" xfId="0" applyFont="1" applyAlignment="1">
      <alignment vertical="center"/>
    </xf>
    <xf numFmtId="167" fontId="9" fillId="3" borderId="0" xfId="0" applyNumberFormat="1" applyFont="1"/>
    <xf numFmtId="0" fontId="20" fillId="3" borderId="3" xfId="0" applyFont="1" applyBorder="1" applyAlignment="1">
      <alignment vertical="center"/>
    </xf>
    <xf numFmtId="0" fontId="14" fillId="3" borderId="3" xfId="0" applyFont="1" applyBorder="1"/>
    <xf numFmtId="168" fontId="14" fillId="3" borderId="3" xfId="0" applyNumberFormat="1" applyFont="1" applyBorder="1"/>
    <xf numFmtId="10" fontId="14" fillId="3" borderId="3" xfId="0" applyNumberFormat="1" applyFont="1" applyBorder="1"/>
    <xf numFmtId="171" fontId="24" fillId="3" borderId="0" xfId="0" applyNumberFormat="1" applyFont="1"/>
    <xf numFmtId="0" fontId="17" fillId="8" borderId="0" xfId="0" applyFont="1" applyFill="1" applyAlignment="1">
      <alignment vertical="center"/>
    </xf>
    <xf numFmtId="0" fontId="17" fillId="8" borderId="0" xfId="0" applyFont="1" applyFill="1"/>
    <xf numFmtId="10" fontId="9" fillId="3" borderId="0" xfId="1" applyNumberFormat="1" applyFont="1" applyFill="1" applyBorder="1"/>
    <xf numFmtId="0" fontId="1" fillId="2" borderId="0" xfId="0" applyFont="1" applyFill="1" applyAlignment="1">
      <alignment vertical="center"/>
    </xf>
    <xf numFmtId="166" fontId="15" fillId="8" borderId="0" xfId="0" applyNumberFormat="1" applyFont="1" applyFill="1" applyAlignment="1">
      <alignment vertical="center"/>
    </xf>
    <xf numFmtId="9" fontId="15" fillId="8" borderId="0" xfId="0" applyNumberFormat="1" applyFont="1" applyFill="1" applyAlignment="1">
      <alignment horizontal="left" vertical="center"/>
    </xf>
    <xf numFmtId="0" fontId="13" fillId="2" borderId="0" xfId="0" applyFont="1" applyFill="1" applyAlignment="1">
      <alignment vertical="top"/>
    </xf>
    <xf numFmtId="168" fontId="13" fillId="2" borderId="0" xfId="0" applyNumberFormat="1" applyFont="1" applyFill="1"/>
    <xf numFmtId="0" fontId="13" fillId="2" borderId="0" xfId="0" applyFont="1" applyFill="1"/>
    <xf numFmtId="165" fontId="13" fillId="2" borderId="0" xfId="1" applyNumberFormat="1" applyFont="1" applyFill="1" applyBorder="1" applyAlignment="1">
      <alignment horizontal="right"/>
    </xf>
    <xf numFmtId="0" fontId="18" fillId="2" borderId="3" xfId="0" applyFont="1" applyFill="1" applyBorder="1"/>
    <xf numFmtId="168" fontId="18" fillId="2" borderId="3" xfId="0" applyNumberFormat="1" applyFont="1" applyFill="1" applyBorder="1"/>
    <xf numFmtId="165" fontId="18" fillId="2" borderId="3" xfId="0" applyNumberFormat="1" applyFont="1" applyFill="1" applyBorder="1" applyAlignment="1">
      <alignment horizontal="right"/>
    </xf>
    <xf numFmtId="0" fontId="0" fillId="3" borderId="5" xfId="0" applyBorder="1"/>
    <xf numFmtId="0" fontId="0" fillId="3" borderId="6" xfId="0" applyBorder="1"/>
    <xf numFmtId="0" fontId="0" fillId="3" borderId="7" xfId="0" applyBorder="1"/>
    <xf numFmtId="0" fontId="0" fillId="3" borderId="8" xfId="0" applyBorder="1"/>
    <xf numFmtId="0" fontId="0" fillId="3" borderId="9" xfId="0" applyBorder="1"/>
    <xf numFmtId="173" fontId="9" fillId="2" borderId="0" xfId="0" applyNumberFormat="1" applyFont="1" applyFill="1" applyAlignment="1">
      <alignment vertical="center" wrapText="1"/>
    </xf>
    <xf numFmtId="0" fontId="25" fillId="3" borderId="3" xfId="0" applyFont="1" applyBorder="1"/>
    <xf numFmtId="10" fontId="25" fillId="3" borderId="3" xfId="0" applyNumberFormat="1" applyFont="1" applyBorder="1"/>
    <xf numFmtId="168" fontId="25" fillId="3" borderId="3" xfId="0" applyNumberFormat="1" applyFont="1" applyBorder="1"/>
    <xf numFmtId="0" fontId="25" fillId="3" borderId="3" xfId="0" applyFont="1" applyBorder="1" applyAlignment="1">
      <alignment horizontal="left"/>
    </xf>
    <xf numFmtId="10" fontId="25" fillId="3" borderId="3" xfId="1" applyNumberFormat="1" applyFont="1" applyFill="1" applyBorder="1" applyAlignment="1"/>
    <xf numFmtId="0" fontId="0" fillId="14" borderId="0" xfId="0" applyFill="1"/>
    <xf numFmtId="0" fontId="13" fillId="2" borderId="0" xfId="0" applyFont="1" applyFill="1" applyAlignment="1">
      <alignment horizontal="left"/>
    </xf>
    <xf numFmtId="10" fontId="9" fillId="3" borderId="0" xfId="1" applyNumberFormat="1" applyFont="1" applyFill="1" applyBorder="1" applyAlignment="1"/>
    <xf numFmtId="10" fontId="9" fillId="3" borderId="6" xfId="1" applyNumberFormat="1" applyFont="1" applyFill="1" applyBorder="1" applyAlignment="1"/>
    <xf numFmtId="0" fontId="13" fillId="3" borderId="0" xfId="0" applyFont="1" applyAlignment="1">
      <alignment horizontal="left"/>
    </xf>
    <xf numFmtId="0" fontId="1" fillId="19" borderId="0" xfId="0" applyFont="1" applyFill="1"/>
    <xf numFmtId="0" fontId="0" fillId="16" borderId="0" xfId="0" applyFill="1"/>
    <xf numFmtId="0" fontId="0" fillId="18" borderId="0" xfId="0" applyFill="1"/>
    <xf numFmtId="173" fontId="13" fillId="2" borderId="0" xfId="0" applyNumberFormat="1" applyFont="1" applyFill="1"/>
    <xf numFmtId="169" fontId="16" fillId="8" borderId="0" xfId="0" applyNumberFormat="1" applyFont="1" applyFill="1"/>
    <xf numFmtId="172" fontId="9" fillId="3" borderId="0" xfId="0" applyNumberFormat="1" applyFont="1"/>
    <xf numFmtId="0" fontId="1" fillId="3" borderId="15" xfId="0" applyFont="1" applyBorder="1"/>
    <xf numFmtId="0" fontId="1" fillId="3" borderId="16" xfId="0" applyFont="1" applyBorder="1"/>
    <xf numFmtId="0" fontId="1" fillId="3" borderId="1" xfId="0" applyFont="1" applyBorder="1"/>
    <xf numFmtId="0" fontId="26" fillId="3" borderId="0" xfId="0" applyFont="1"/>
    <xf numFmtId="0" fontId="22" fillId="3" borderId="12" xfId="0" applyFont="1" applyBorder="1"/>
    <xf numFmtId="0" fontId="9" fillId="3" borderId="15" xfId="0" applyFont="1" applyBorder="1"/>
    <xf numFmtId="0" fontId="9" fillId="3" borderId="17" xfId="0" applyFont="1" applyBorder="1"/>
    <xf numFmtId="0" fontId="22" fillId="3" borderId="13" xfId="0" applyFont="1" applyBorder="1"/>
    <xf numFmtId="0" fontId="22" fillId="3" borderId="14" xfId="0" applyFont="1" applyBorder="1"/>
    <xf numFmtId="0" fontId="21" fillId="8" borderId="18" xfId="0" applyFont="1" applyFill="1" applyBorder="1" applyAlignment="1">
      <alignment vertical="center"/>
    </xf>
    <xf numFmtId="0" fontId="2" fillId="2" borderId="19" xfId="0" applyFont="1" applyFill="1" applyBorder="1"/>
    <xf numFmtId="0" fontId="12" fillId="2" borderId="19" xfId="0" applyFont="1" applyFill="1" applyBorder="1"/>
    <xf numFmtId="0" fontId="11" fillId="3" borderId="19" xfId="0" applyFont="1" applyBorder="1"/>
    <xf numFmtId="0" fontId="6" fillId="2" borderId="19" xfId="0" applyFont="1" applyFill="1" applyBorder="1"/>
    <xf numFmtId="0" fontId="4" fillId="2" borderId="19" xfId="0" applyFont="1" applyFill="1" applyBorder="1"/>
    <xf numFmtId="0" fontId="5" fillId="2" borderId="11" xfId="0" applyFont="1" applyFill="1" applyBorder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18" borderId="0" xfId="0" applyFont="1" applyFill="1"/>
    <xf numFmtId="0" fontId="15" fillId="8" borderId="0" xfId="0" applyFont="1" applyFill="1" applyAlignment="1">
      <alignment horizontal="left" vertical="center"/>
    </xf>
    <xf numFmtId="0" fontId="18" fillId="2" borderId="3" xfId="0" applyFont="1" applyFill="1" applyBorder="1" applyAlignment="1">
      <alignment horizontal="left"/>
    </xf>
    <xf numFmtId="0" fontId="28" fillId="8" borderId="0" xfId="0" applyFont="1" applyFill="1" applyAlignment="1">
      <alignment vertical="center"/>
    </xf>
    <xf numFmtId="169" fontId="9" fillId="2" borderId="0" xfId="0" applyNumberFormat="1" applyFont="1" applyFill="1"/>
    <xf numFmtId="173" fontId="9" fillId="3" borderId="0" xfId="0" applyNumberFormat="1" applyFont="1"/>
    <xf numFmtId="174" fontId="9" fillId="3" borderId="0" xfId="0" applyNumberFormat="1" applyFont="1"/>
    <xf numFmtId="44" fontId="9" fillId="3" borderId="0" xfId="0" applyNumberFormat="1" applyFont="1"/>
    <xf numFmtId="0" fontId="0" fillId="3" borderId="15" xfId="0" applyBorder="1"/>
    <xf numFmtId="0" fontId="0" fillId="3" borderId="16" xfId="0" applyBorder="1"/>
    <xf numFmtId="0" fontId="0" fillId="3" borderId="17" xfId="0" applyBorder="1"/>
    <xf numFmtId="0" fontId="0" fillId="3" borderId="1" xfId="0" applyBorder="1"/>
    <xf numFmtId="0" fontId="0" fillId="3" borderId="10" xfId="0" applyBorder="1"/>
    <xf numFmtId="0" fontId="4" fillId="20" borderId="0" xfId="0" applyFont="1" applyFill="1"/>
    <xf numFmtId="0" fontId="4" fillId="21" borderId="0" xfId="0" applyFont="1" applyFill="1"/>
    <xf numFmtId="0" fontId="4" fillId="22" borderId="0" xfId="0" applyFont="1" applyFill="1"/>
    <xf numFmtId="0" fontId="4" fillId="23" borderId="0" xfId="0" applyFont="1" applyFill="1"/>
    <xf numFmtId="0" fontId="4" fillId="24" borderId="0" xfId="0" applyFont="1" applyFill="1"/>
    <xf numFmtId="0" fontId="9" fillId="3" borderId="0" xfId="0" applyFont="1" applyAlignment="1">
      <alignment horizontal="left"/>
    </xf>
    <xf numFmtId="0" fontId="22" fillId="3" borderId="0" xfId="0" applyFont="1"/>
    <xf numFmtId="0" fontId="9" fillId="3" borderId="16" xfId="0" applyFont="1" applyBorder="1"/>
    <xf numFmtId="0" fontId="9" fillId="3" borderId="1" xfId="0" applyFont="1" applyBorder="1"/>
    <xf numFmtId="0" fontId="9" fillId="3" borderId="10" xfId="0" applyFont="1" applyBorder="1"/>
    <xf numFmtId="0" fontId="3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0" fillId="3" borderId="0" xfId="0" pivotButton="1"/>
    <xf numFmtId="0" fontId="0" fillId="3" borderId="0" xfId="0" applyAlignment="1">
      <alignment horizontal="left"/>
    </xf>
    <xf numFmtId="10" fontId="0" fillId="3" borderId="0" xfId="0" applyNumberFormat="1"/>
    <xf numFmtId="0" fontId="1" fillId="25" borderId="0" xfId="0" applyFont="1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9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4" fillId="34" borderId="0" xfId="0" applyFont="1" applyFill="1"/>
    <xf numFmtId="0" fontId="14" fillId="3" borderId="0" xfId="0" pivotButton="1" applyFont="1"/>
    <xf numFmtId="0" fontId="16" fillId="8" borderId="12" xfId="0" applyFont="1" applyFill="1" applyBorder="1" applyAlignment="1">
      <alignment vertical="center"/>
    </xf>
    <xf numFmtId="0" fontId="16" fillId="8" borderId="17" xfId="0" applyFont="1" applyFill="1" applyBorder="1" applyAlignment="1">
      <alignment vertical="center"/>
    </xf>
    <xf numFmtId="173" fontId="9" fillId="2" borderId="14" xfId="0" applyNumberFormat="1" applyFont="1" applyFill="1" applyBorder="1" applyAlignment="1">
      <alignment vertical="center" wrapText="1"/>
    </xf>
    <xf numFmtId="173" fontId="9" fillId="2" borderId="10" xfId="0" applyNumberFormat="1" applyFont="1" applyFill="1" applyBorder="1" applyAlignment="1">
      <alignment vertical="center" wrapText="1"/>
    </xf>
    <xf numFmtId="44" fontId="4" fillId="35" borderId="0" xfId="0" applyNumberFormat="1" applyFont="1" applyFill="1"/>
    <xf numFmtId="165" fontId="13" fillId="3" borderId="0" xfId="1" applyNumberFormat="1" applyFont="1" applyFill="1" applyAlignment="1">
      <alignment horizontal="right"/>
    </xf>
    <xf numFmtId="165" fontId="9" fillId="3" borderId="0" xfId="1" applyNumberFormat="1" applyFont="1" applyFill="1"/>
    <xf numFmtId="0" fontId="0" fillId="3" borderId="0" xfId="0" applyAlignment="1">
      <alignment horizontal="left" indent="1"/>
    </xf>
    <xf numFmtId="168" fontId="0" fillId="3" borderId="0" xfId="0" applyNumberFormat="1"/>
    <xf numFmtId="0" fontId="29" fillId="8" borderId="0" xfId="0" applyFont="1" applyFill="1"/>
    <xf numFmtId="0" fontId="4" fillId="37" borderId="0" xfId="0" applyFont="1" applyFill="1"/>
    <xf numFmtId="0" fontId="4" fillId="38" borderId="0" xfId="0" applyFont="1" applyFill="1"/>
    <xf numFmtId="0" fontId="4" fillId="36" borderId="0" xfId="0" applyFont="1" applyFill="1"/>
    <xf numFmtId="0" fontId="4" fillId="39" borderId="0" xfId="0" applyFont="1" applyFill="1"/>
    <xf numFmtId="0" fontId="25" fillId="3" borderId="0" xfId="0" applyFont="1" applyAlignment="1">
      <alignment horizontal="left"/>
    </xf>
    <xf numFmtId="0" fontId="18" fillId="2" borderId="0" xfId="0" applyFont="1" applyFill="1" applyAlignment="1">
      <alignment horizontal="left"/>
    </xf>
    <xf numFmtId="0" fontId="18" fillId="2" borderId="0" xfId="0" applyFont="1" applyFill="1"/>
    <xf numFmtId="168" fontId="18" fillId="2" borderId="0" xfId="0" applyNumberFormat="1" applyFont="1" applyFill="1"/>
    <xf numFmtId="165" fontId="18" fillId="2" borderId="0" xfId="0" applyNumberFormat="1" applyFont="1" applyFill="1" applyAlignment="1">
      <alignment horizontal="right"/>
    </xf>
    <xf numFmtId="10" fontId="30" fillId="2" borderId="0" xfId="1" applyNumberFormat="1" applyFont="1" applyFill="1"/>
    <xf numFmtId="173" fontId="31" fillId="2" borderId="0" xfId="0" applyNumberFormat="1" applyFont="1" applyFill="1" applyAlignment="1">
      <alignment vertical="center" wrapText="1"/>
    </xf>
    <xf numFmtId="0" fontId="1" fillId="40" borderId="0" xfId="0" applyFont="1" applyFill="1" applyAlignment="1">
      <alignment vertical="center"/>
    </xf>
    <xf numFmtId="0" fontId="1" fillId="36" borderId="0" xfId="0" applyFont="1" applyFill="1" applyAlignment="1">
      <alignment vertical="center"/>
    </xf>
    <xf numFmtId="0" fontId="1" fillId="41" borderId="0" xfId="0" applyFont="1" applyFill="1" applyAlignment="1">
      <alignment vertical="center"/>
    </xf>
    <xf numFmtId="0" fontId="0" fillId="38" borderId="0" xfId="0" applyFill="1"/>
    <xf numFmtId="0" fontId="0" fillId="42" borderId="0" xfId="0" applyFill="1"/>
    <xf numFmtId="0" fontId="0" fillId="37" borderId="0" xfId="0" applyFill="1"/>
    <xf numFmtId="175" fontId="4" fillId="2" borderId="0" xfId="1" applyNumberFormat="1" applyFont="1" applyFill="1" applyBorder="1" applyAlignment="1">
      <alignment vertical="center"/>
    </xf>
    <xf numFmtId="175" fontId="9" fillId="2" borderId="0" xfId="1" applyNumberFormat="1" applyFont="1" applyFill="1" applyBorder="1" applyAlignment="1">
      <alignment vertical="center"/>
    </xf>
    <xf numFmtId="0" fontId="27" fillId="8" borderId="2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4" xfId="0" applyFont="1" applyFill="1" applyBorder="1" applyAlignment="1">
      <alignment horizontal="center" vertical="center"/>
    </xf>
    <xf numFmtId="173" fontId="9" fillId="43" borderId="0" xfId="0" applyNumberFormat="1" applyFont="1" applyFill="1" applyAlignment="1">
      <alignment vertical="center" wrapText="1"/>
    </xf>
    <xf numFmtId="173" fontId="25" fillId="43" borderId="0" xfId="0" applyNumberFormat="1" applyFont="1" applyFill="1" applyAlignment="1">
      <alignment vertical="center" wrapText="1"/>
    </xf>
    <xf numFmtId="0" fontId="27" fillId="8" borderId="2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4" xfId="0" applyFont="1" applyFill="1" applyBorder="1" applyAlignment="1">
      <alignment horizontal="center" vertical="center"/>
    </xf>
    <xf numFmtId="0" fontId="27" fillId="8" borderId="12" xfId="0" applyFont="1" applyFill="1" applyBorder="1" applyAlignment="1">
      <alignment horizontal="center" vertical="center"/>
    </xf>
    <xf numFmtId="0" fontId="27" fillId="8" borderId="13" xfId="0" applyFont="1" applyFill="1" applyBorder="1" applyAlignment="1">
      <alignment horizontal="center" vertical="center"/>
    </xf>
    <xf numFmtId="0" fontId="27" fillId="8" borderId="14" xfId="0" applyFont="1" applyFill="1" applyBorder="1" applyAlignment="1">
      <alignment horizontal="center" vertical="center"/>
    </xf>
    <xf numFmtId="0" fontId="7" fillId="3" borderId="0" xfId="0" applyFont="1" applyAlignment="1">
      <alignment horizontal="left" vertical="center"/>
    </xf>
    <xf numFmtId="0" fontId="27" fillId="8" borderId="15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3" fillId="3" borderId="0" xfId="0" applyFont="1" applyAlignment="1">
      <alignment horizontal="center"/>
    </xf>
    <xf numFmtId="0" fontId="7" fillId="2" borderId="0" xfId="0" applyFont="1" applyFill="1" applyAlignment="1">
      <alignment horizontal="left" vertical="top"/>
    </xf>
    <xf numFmtId="167" fontId="9" fillId="3" borderId="0" xfId="0" applyNumberFormat="1" applyFont="1" applyFill="1"/>
    <xf numFmtId="168" fontId="9" fillId="3" borderId="0" xfId="0" applyNumberFormat="1" applyFont="1" applyFill="1"/>
    <xf numFmtId="0" fontId="9" fillId="3" borderId="0" xfId="0" applyFont="1" applyFill="1"/>
  </cellXfs>
  <cellStyles count="2">
    <cellStyle name="Normal" xfId="0" builtinId="0" customBuiltin="1"/>
    <cellStyle name="Percent" xfId="1" builtinId="5"/>
  </cellStyles>
  <dxfs count="202">
    <dxf>
      <font>
        <color rgb="FFFF6363"/>
      </font>
    </dxf>
    <dxf>
      <font>
        <color rgb="FF96DE9B"/>
      </font>
    </dxf>
    <dxf>
      <font>
        <color rgb="FF96DE9B"/>
      </font>
    </dxf>
    <dxf>
      <font>
        <color rgb="FFFF6363"/>
      </font>
    </dxf>
    <dxf>
      <font>
        <color rgb="FFFF2D2D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2" formatCode="_-* #,##0.000\ &quot;₫&quot;_-;\-* #,##0.000\ &quot;₫&quot;_-;_-* &quot;-&quot;???\ &quot;₫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2" formatCode="_-* #,##0.000\ &quot;₫&quot;_-;\-* #,##0.000\ &quot;₫&quot;_-;_-* &quot;-&quot;???\ &quot;₫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9" formatCode="[$-1010409]mmm\ yy"/>
      <fill>
        <patternFill patternType="solid">
          <fgColor indexed="64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numFmt numFmtId="169" formatCode="[$-1010409]mmm\ yy"/>
      <fill>
        <patternFill patternType="solid">
          <fgColor indexed="64"/>
          <bgColor rgb="FFF2B5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2" formatCode="_-* #,##0.000\ &quot;₫&quot;_-;\-* #,##0.000\ &quot;₫&quot;_-;_-* &quot;-&quot;???\ &quot;₫&quot;_-;_-@_-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9" formatCode="[$-1010409]mmm\ yy"/>
      <fill>
        <patternFill patternType="solid">
          <fgColor indexed="64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numFmt numFmtId="169" formatCode="[$-1010409]mmm\ yy"/>
      <fill>
        <patternFill patternType="solid">
          <fgColor indexed="64"/>
          <bgColor rgb="FFF2B5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border diagonalUp="0" diagonalDown="0"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Montserrat Light"/>
        <scheme val="none"/>
      </font>
      <fill>
        <patternFill patternType="solid">
          <fgColor rgb="FFF5FFFA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Montserrat Light"/>
        <scheme val="none"/>
      </font>
      <fill>
        <patternFill patternType="solid">
          <fgColor rgb="FFF5FFFA"/>
          <bgColor indexed="65"/>
        </patternFill>
      </fill>
    </dxf>
    <dxf>
      <border diagonalUp="0" diagonalDown="0"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Montserrat Light"/>
        <scheme val="none"/>
      </font>
      <fill>
        <patternFill patternType="solid">
          <fgColor rgb="FFF5FFFA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border diagonalUp="0" diagonalDown="0"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  <border diagonalUp="0" diagonalDown="0">
        <left/>
        <right style="thin">
          <color rgb="FFF2B5D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rgb="FFF2B5D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  <border diagonalUp="0" diagonalDown="0">
        <left/>
        <right/>
        <top/>
        <bottom/>
        <vertical/>
        <horizontal/>
      </border>
    </dxf>
    <dxf>
      <numFmt numFmtId="168" formatCode="#,##0.000\ &quot;₫&quot;"/>
    </dxf>
    <dxf>
      <numFmt numFmtId="168" formatCode="#,##0.000\ &quot;₫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5" formatCode="0.0%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5" formatCode="0.0%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</dxf>
    <dxf>
      <border>
        <top style="thin">
          <color theme="0"/>
        </top>
      </border>
    </dxf>
    <dxf>
      <font>
        <b/>
        <strike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ontserrat Light"/>
        <scheme val="none"/>
      </font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</dxf>
    <dxf>
      <border>
        <top style="thin">
          <color theme="0"/>
        </top>
      </border>
    </dxf>
    <dxf>
      <font>
        <b/>
        <strike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4" formatCode="0.0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4" formatCode="0.000%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0" formatCode="[$-1010409]dd\ mmm\ 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3D325D"/>
        <name val="SVN-Sansation"/>
        <family val="1"/>
        <scheme val="none"/>
      </font>
      <fill>
        <patternFill patternType="solid">
          <fgColor indexed="64"/>
          <bgColor rgb="FFF2B5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5" formatCode="0.0%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70" formatCode="[$-1010409]dd\ mmm\ yy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4" formatCode="0.0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5" formatCode="0.0%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strike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numFmt numFmtId="173" formatCode="_-* #,##0.000\ &quot;₫&quot;_-;\-* #,##0.000\ &quot;₫&quot;_-;_-* &quot;-&quot;??\ &quot;₫&quot;_-;_-@_-"/>
      <fill>
        <patternFill>
          <fgColor rgb="FF000000"/>
        </patternFill>
      </fill>
      <alignment vertical="center" wrapText="1"/>
    </dxf>
    <dxf>
      <font>
        <name val="Montserrat Light"/>
        <scheme val="none"/>
      </font>
    </dxf>
    <dxf>
      <font>
        <name val="Montserrat Light"/>
        <scheme val="none"/>
      </font>
    </dxf>
    <dxf>
      <font>
        <b/>
      </font>
    </dxf>
    <dxf>
      <font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charset val="163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fill>
        <patternFill patternType="solid">
          <fgColor indexed="64"/>
          <bgColor theme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border diagonalUp="0" diagonalDown="0" outline="0">
        <left/>
        <right/>
        <top style="thin">
          <color rgb="FFE9ECF1"/>
        </top>
        <bottom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5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border diagonalUp="0" diagonalDown="0" outline="0">
        <left/>
        <right/>
        <top style="thin">
          <color rgb="FFE9ECF1"/>
        </top>
        <bottom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border diagonalUp="0" diagonalDown="0" outline="0">
        <left/>
        <right/>
        <top style="thin">
          <color rgb="FFE9ECF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border diagonalUp="0" diagonalDown="0" outline="0">
        <left/>
        <right/>
        <top style="thin">
          <color rgb="FFE9ECF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border diagonalUp="0" diagonalDown="0" outline="0">
        <left/>
        <right/>
        <top style="thin">
          <color rgb="FFE9ECF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4" formatCode="[$-1010409]mmm\ yyyy"/>
      <fill>
        <patternFill patternType="solid">
          <fgColor indexed="64"/>
          <bgColor theme="1"/>
        </patternFill>
      </fill>
    </dxf>
    <dxf>
      <border>
        <top style="thin">
          <color rgb="FFE9ECF1"/>
        </top>
      </border>
    </dxf>
    <dxf>
      <font>
        <b/>
      </font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B433B"/>
        <name val="SVN-Sansation"/>
        <family val="1"/>
        <scheme val="none"/>
      </font>
      <fill>
        <patternFill patternType="solid">
          <fgColor indexed="64"/>
          <bgColor rgb="FFF2B5D4"/>
        </patternFill>
      </fill>
    </dxf>
    <dxf>
      <font>
        <color rgb="FF8B0000"/>
        <name val="SVN-Sansation"/>
        <family val="1"/>
      </font>
      <fill>
        <patternFill patternType="solid">
          <fgColor auto="1"/>
          <bgColor rgb="FFE3D6E9"/>
        </patternFill>
      </fill>
    </dxf>
    <dxf>
      <font>
        <color theme="0"/>
        <name val="Montserrat Light"/>
        <scheme val="none"/>
      </font>
      <fill>
        <patternFill patternType="none">
          <bgColor auto="1"/>
        </patternFill>
      </fill>
      <border>
        <left style="thin">
          <color rgb="FF8B0000"/>
        </left>
        <right style="thin">
          <color rgb="FF8B0000"/>
        </right>
        <top style="thin">
          <color rgb="FF8B0000"/>
        </top>
        <bottom style="thin">
          <color rgb="FF8B0000"/>
        </bottom>
      </border>
    </dxf>
    <dxf>
      <font>
        <color theme="1"/>
        <name val="SVN-Sansation"/>
        <family val="1"/>
      </font>
      <fill>
        <patternFill patternType="solid">
          <fgColor auto="1"/>
          <bgColor rgb="FF8FBC8F"/>
        </patternFill>
      </fill>
    </dxf>
    <dxf>
      <font>
        <color theme="0"/>
        <name val="Montserrat Light"/>
        <scheme val="none"/>
      </font>
      <fill>
        <patternFill patternType="none">
          <bgColor auto="1"/>
        </patternFill>
      </fill>
      <border>
        <left style="thin">
          <color rgb="FF8FBC8F"/>
        </left>
        <right style="thin">
          <color rgb="FF8FBC8F"/>
        </right>
        <top style="thin">
          <color rgb="FF8FBC8F"/>
        </top>
        <bottom style="thin">
          <color rgb="FF8FBC8F"/>
        </bottom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>
        <top style="thin">
          <color rgb="FFF2B5D4"/>
        </top>
      </border>
    </dxf>
    <dxf>
      <font>
        <color rgb="FF013220"/>
      </font>
      <fill>
        <patternFill>
          <bgColor rgb="FFDFB1B6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rgb="FF6FFFFF"/>
      </font>
      <fill>
        <patternFill>
          <bgColor rgb="FF2D3032"/>
        </patternFill>
      </fill>
    </dxf>
    <dxf>
      <border>
        <left style="thin">
          <color rgb="FF6FFFFF"/>
        </left>
        <right style="thin">
          <color rgb="FF6FFFFF"/>
        </right>
        <top style="thin">
          <color rgb="FF6FFFFF"/>
        </top>
        <bottom style="thin">
          <color rgb="FF6FFFFF"/>
        </bottom>
      </border>
    </dxf>
    <dxf>
      <border>
        <top style="thin">
          <color rgb="FFF5FFFA"/>
        </top>
      </border>
    </dxf>
    <dxf>
      <font>
        <color theme="1"/>
      </font>
      <fill>
        <patternFill>
          <fgColor rgb="FFF5FFFA"/>
        </patternFill>
      </fill>
      <border diagonalUp="0" diagonalDown="0">
        <left/>
        <right/>
        <top/>
        <bottom/>
        <vertical/>
        <horizontal/>
      </border>
    </dxf>
    <dxf>
      <border>
        <top style="thin">
          <color rgb="FFF5FFFA"/>
        </top>
      </border>
    </dxf>
    <dxf>
      <border diagonalUp="0" diagonalDown="0">
        <left/>
        <right/>
        <top/>
        <bottom/>
        <vertical/>
        <horizontal/>
      </border>
    </dxf>
    <dxf>
      <border>
        <left style="thin">
          <color rgb="FF8B0000"/>
        </left>
        <right style="thin">
          <color rgb="FF8B0000"/>
        </right>
        <top style="thin">
          <color rgb="FF8B0000"/>
        </top>
        <bottom style="thin">
          <color rgb="FF8B0000"/>
        </bottom>
      </border>
    </dxf>
    <dxf>
      <border>
        <top style="thin">
          <color rgb="FFF5FFFA"/>
        </top>
      </border>
    </dxf>
    <dxf>
      <font>
        <color rgb="FF2F4F4F"/>
      </font>
      <fill>
        <patternFill>
          <bgColor rgb="FFD0EAE8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rgb="FF8B0000"/>
        <name val="SVN-Sansation"/>
        <family val="1"/>
      </font>
      <fill>
        <patternFill>
          <bgColor rgb="FFE3D6E9"/>
        </patternFill>
      </fill>
    </dxf>
    <dxf>
      <font>
        <color theme="0"/>
        <name val="Montserrat Light"/>
      </font>
      <fill>
        <patternFill>
          <bgColor theme="1"/>
        </patternFill>
      </fill>
      <border>
        <left style="thin">
          <color rgb="FF8B0000"/>
        </left>
        <right style="thin">
          <color rgb="FF8B0000"/>
        </right>
        <top style="thin">
          <color rgb="FF8B0000"/>
        </top>
        <bottom style="thin">
          <color rgb="FF8B0000"/>
        </bottom>
      </border>
    </dxf>
    <dxf>
      <font>
        <color theme="1"/>
        <name val="SVN-Sansation"/>
        <family val="1"/>
      </font>
      <fill>
        <patternFill>
          <fgColor auto="1"/>
          <bgColor rgb="FFF2B5D4"/>
        </patternFill>
      </fill>
    </dxf>
    <dxf>
      <font>
        <color theme="0"/>
        <name val="Montserrat Light"/>
      </font>
      <fill>
        <patternFill>
          <bgColor theme="1"/>
        </patternFill>
      </fill>
      <border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/>
        <i val="0"/>
      </font>
    </dxf>
    <dxf>
      <font>
        <b/>
        <i val="0"/>
        <color theme="1"/>
      </font>
      <fill>
        <patternFill>
          <bgColor rgb="FFF2B5D4"/>
        </patternFill>
      </fill>
    </dxf>
    <dxf>
      <font>
        <color theme="0"/>
      </font>
      <fill>
        <patternFill>
          <bgColor theme="1"/>
        </patternFill>
      </fill>
    </dxf>
    <dxf>
      <font>
        <color rgb="FFC00000"/>
      </font>
      <fill>
        <patternFill>
          <fgColor rgb="FFE3D6E9"/>
        </patternFill>
      </fill>
    </dxf>
    <dxf>
      <font>
        <b/>
        <i val="0"/>
        <color rgb="FF8B0000"/>
      </font>
      <fill>
        <patternFill>
          <bgColor rgb="FFE3D6E9"/>
        </patternFill>
      </fill>
    </dxf>
    <dxf>
      <font>
        <b/>
        <i val="0"/>
        <color rgb="FF8B0000"/>
      </font>
      <fill>
        <patternFill>
          <fgColor rgb="FFE3D6E9"/>
        </patternFill>
      </fill>
    </dxf>
    <dxf>
      <font>
        <b/>
        <i val="0"/>
      </font>
      <border>
        <top style="thin">
          <color rgb="FFFF6363"/>
        </top>
      </border>
    </dxf>
    <dxf>
      <font>
        <color rgb="FFC00000"/>
      </font>
      <fill>
        <patternFill>
          <fgColor rgb="FFE3D6E9"/>
        </patternFill>
      </fill>
    </dxf>
    <dxf>
      <font>
        <b/>
        <i val="0"/>
      </font>
    </dxf>
    <dxf>
      <font>
        <b/>
        <i val="0"/>
        <color theme="1"/>
      </font>
      <fill>
        <patternFill>
          <bgColor rgb="FFD1EF9F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8B0000"/>
      </font>
      <fill>
        <patternFill>
          <bgColor rgb="FFE3D6E9"/>
        </patternFill>
      </fill>
    </dxf>
    <dxf>
      <font>
        <color theme="0"/>
      </font>
      <fill>
        <patternFill>
          <bgColor theme="1"/>
        </patternFill>
      </fill>
    </dxf>
  </dxfs>
  <tableStyles count="16" defaultTableStyle="TableStyleMedium2" defaultPivotStyle="PivotStyleLight16">
    <tableStyle name="expense" table="0" count="3" xr9:uid="{736A9851-E1BB-4C5A-B5EA-E91A4D563257}">
      <tableStyleElement type="wholeTable" dxfId="201"/>
      <tableStyleElement type="headerRow" dxfId="200"/>
      <tableStyleElement type="totalRow" dxfId="199"/>
    </tableStyle>
    <tableStyle name="income" table="0" count="3" xr9:uid="{E217FC4E-EF14-4009-BAFA-D214CDABDEF0}">
      <tableStyleElement type="wholeTable" dxfId="198"/>
      <tableStyleElement type="headerRow" dxfId="197"/>
      <tableStyleElement type="totalRow" dxfId="196"/>
    </tableStyle>
    <tableStyle name="PivotTable Style 1" table="0" count="5" xr9:uid="{742F91EB-E659-4256-A475-BF9E5DBB6072}">
      <tableStyleElement type="headerRow" dxfId="195"/>
      <tableStyleElement type="totalRow" dxfId="194"/>
      <tableStyleElement type="firstHeaderCell" dxfId="193"/>
      <tableStyleElement type="pageFieldLabels" dxfId="192"/>
      <tableStyleElement type="pageFieldValues" dxfId="191"/>
    </tableStyle>
    <tableStyle name="PivotTable Style 3" table="0" count="3" xr9:uid="{1CF889E2-B156-453E-82D6-73E067C4CAB2}">
      <tableStyleElement type="wholeTable" dxfId="190"/>
      <tableStyleElement type="headerRow" dxfId="189"/>
      <tableStyleElement type="totalRow" dxfId="188"/>
    </tableStyle>
    <tableStyle name="Slicer Style 1" pivot="0" table="0" count="3" xr9:uid="{8FBD13A0-1494-4ED7-8AEB-064AAF270A12}">
      <tableStyleElement type="wholeTable" dxfId="187"/>
      <tableStyleElement type="headerRow" dxfId="186"/>
    </tableStyle>
    <tableStyle name="Slicer Style 1 2" pivot="0" table="0" count="3" xr9:uid="{866C0B3F-72F2-4C33-A799-35C4C33555D5}">
      <tableStyleElement type="wholeTable" dxfId="185"/>
      <tableStyleElement type="headerRow" dxfId="184"/>
    </tableStyle>
    <tableStyle name="Table Style 1" pivot="0" count="3" xr9:uid="{9148D404-6FE0-4BC0-850A-CD6D41F78318}">
      <tableStyleElement type="wholeTable" dxfId="183"/>
      <tableStyleElement type="headerRow" dxfId="182"/>
      <tableStyleElement type="totalRow" dxfId="181"/>
    </tableStyle>
    <tableStyle name="Table Style 2" pivot="0" count="1" xr9:uid="{3BA44F2F-62CC-4701-8288-A8E5CC5E88CC}">
      <tableStyleElement type="wholeTable" dxfId="180"/>
    </tableStyle>
    <tableStyle name="Table Style 3" pivot="0" count="2" xr9:uid="{EC8DEA25-1B03-4615-8AEC-CB8F096A8739}">
      <tableStyleElement type="wholeTable" dxfId="179"/>
      <tableStyleElement type="totalRow" dxfId="178"/>
    </tableStyle>
    <tableStyle name="Table Style 4" pivot="0" count="2" xr9:uid="{EF9C1845-43B0-480E-B6E2-1103242998CE}">
      <tableStyleElement type="wholeTable" dxfId="177"/>
      <tableStyleElement type="totalRow" dxfId="176"/>
    </tableStyle>
    <tableStyle name="Table Style 5" pivot="0" count="2" xr9:uid="{EE22D4E3-16A9-43C3-9AFA-A581EA0948D5}">
      <tableStyleElement type="wholeTable" dxfId="175"/>
      <tableStyleElement type="headerRow" dxfId="174"/>
    </tableStyle>
    <tableStyle name="Table Style 6" pivot="0" count="3" xr9:uid="{427369ED-BE33-452F-91F6-9982676F2C5A}">
      <tableStyleElement type="wholeTable" dxfId="173"/>
      <tableStyleElement type="headerRow" dxfId="172"/>
      <tableStyleElement type="totalRow" dxfId="171"/>
    </tableStyle>
    <tableStyle name="Table Style 7" pivot="0" count="1" xr9:uid="{E613F5DE-FD2B-47C1-B33E-9C9BFA607E6C}">
      <tableStyleElement type="wholeTable" dxfId="170"/>
    </tableStyle>
    <tableStyle name="Table Style 8" pivot="0" count="1" xr9:uid="{DAF44882-65B7-46A5-B68F-7DEABF965963}">
      <tableStyleElement type="wholeTable" dxfId="169"/>
    </tableStyle>
    <tableStyle name="Timeline Style 1" pivot="0" table="0" count="4" xr9:uid="{4ADE8E14-B791-437F-A386-24652439A19A}">
      <tableStyleElement type="wholeTable" dxfId="168"/>
      <tableStyleElement type="headerRow" dxfId="167"/>
    </tableStyle>
    <tableStyle name="Timeline Style 1 2" pivot="0" table="0" count="4" xr9:uid="{8D573E4A-7981-4DB2-8FD9-D23DA1162A93}">
      <tableStyleElement type="wholeTable" dxfId="166"/>
      <tableStyleElement type="headerRow" dxfId="165"/>
    </tableStyle>
  </tableStyles>
  <colors>
    <mruColors>
      <color rgb="FFAD1F66"/>
      <color rgb="FFD92680"/>
      <color rgb="FFE05299"/>
      <color rgb="FFE87DB3"/>
      <color rgb="FFF0A8CC"/>
      <color rgb="FFF7D4E6"/>
      <color rgb="FFD1EF9F"/>
      <color rgb="FF82174D"/>
      <color rgb="FFF2B5D4"/>
      <color rgb="FF8B0000"/>
    </mruColors>
  </colors>
  <extLst>
    <ext xmlns:x14="http://schemas.microsoft.com/office/spreadsheetml/2009/9/main" uri="{46F421CA-312F-682f-3DD2-61675219B42D}">
      <x14:dxfs count="2">
        <dxf>
          <font>
            <color rgb="FFE3D6E9"/>
          </font>
          <fill>
            <patternFill>
              <bgColor rgb="FF2D3032"/>
            </patternFill>
          </fill>
        </dxf>
        <dxf>
          <font>
            <color theme="1"/>
          </font>
          <fill>
            <patternFill>
              <bgColor rgb="FFF2B5D4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1"/>
          </x14:slicerStyleElements>
        </x14:slicerStyle>
        <x14:slicerStyle name="Slicer Style 1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4">
        <dxf>
          <fill>
            <patternFill>
              <bgColor rgb="FF8B0000"/>
            </patternFill>
          </fill>
        </dxf>
        <dxf>
          <fill>
            <patternFill>
              <bgColor rgb="FFE3D6E9"/>
            </patternFill>
          </fill>
        </dxf>
        <dxf>
          <fill>
            <patternFill>
              <bgColor rgb="FF000000"/>
            </patternFill>
          </fill>
        </dxf>
        <dxf>
          <fill>
            <patternFill>
              <bgColor rgb="FF8FBC8F"/>
            </patternFill>
          </fill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line Style 1">
          <x15:timelineStyleElements>
            <x15:timelineStyleElement type="selectedTimeBlock" dxfId="3"/>
            <x15:timelineStyleElement type="selectedTimeBlockSpace" dxfId="2"/>
          </x15:timelineStyleElements>
        </x15:timelineStyle>
        <x15:timelineStyle name="Timeline Style 1 2">
          <x15:timelineStyleElements>
            <x15:timelineStyleElement type="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pivotCacheDefinition" Target="pivotCache/pivotCacheDefinition5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rgbClr val="F7D4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F2-4A51-97F9-AD4EE5E624DC}"/>
              </c:ext>
            </c:extLst>
          </c:dPt>
          <c:dPt>
            <c:idx val="1"/>
            <c:bubble3D val="0"/>
            <c:spPr>
              <a:solidFill>
                <a:srgbClr val="F0A8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F2-4A51-97F9-AD4EE5E624DC}"/>
              </c:ext>
            </c:extLst>
          </c:dPt>
          <c:dPt>
            <c:idx val="2"/>
            <c:bubble3D val="0"/>
            <c:spPr>
              <a:solidFill>
                <a:srgbClr val="E87DB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F2-4A51-97F9-AD4EE5E624DC}"/>
              </c:ext>
            </c:extLst>
          </c:dPt>
          <c:dPt>
            <c:idx val="3"/>
            <c:bubble3D val="0"/>
            <c:spPr>
              <a:solidFill>
                <a:srgbClr val="E052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F2-4A51-97F9-AD4EE5E624DC}"/>
              </c:ext>
            </c:extLst>
          </c:dPt>
          <c:dPt>
            <c:idx val="4"/>
            <c:bubble3D val="0"/>
            <c:spPr>
              <a:solidFill>
                <a:srgbClr val="D9268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13F-4522-85A2-BE219F2A69B3}"/>
              </c:ext>
            </c:extLst>
          </c:dPt>
          <c:dPt>
            <c:idx val="5"/>
            <c:bubble3D val="0"/>
            <c:spPr>
              <a:solidFill>
                <a:srgbClr val="AD1F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DCD-49AB-9D9A-824B700CAD75}"/>
              </c:ext>
            </c:extLst>
          </c:dPt>
          <c:cat>
            <c:strRef>
              <c:f>transactions!$B$7:$B$13</c:f>
              <c:strCache>
                <c:ptCount val="6"/>
                <c:pt idx="0">
                  <c:v>cash</c:v>
                </c:pt>
                <c:pt idx="1">
                  <c:v>mb bank</c:v>
                </c:pt>
                <c:pt idx="2">
                  <c:v>timo</c:v>
                </c:pt>
                <c:pt idx="3">
                  <c:v>vietcombank</c:v>
                </c:pt>
                <c:pt idx="4">
                  <c:v>msb</c:v>
                </c:pt>
                <c:pt idx="5">
                  <c:v>shopee pay</c:v>
                </c:pt>
              </c:strCache>
            </c:strRef>
          </c:cat>
          <c:val>
            <c:numRef>
              <c:f>transactions!$C$7:$C$13</c:f>
              <c:numCache>
                <c:formatCode>_-* #,##0.000\ "₫"_-;\-* #,##0.000\ "₫"_-;_-* "-"??\ "₫"_-;_-@_-</c:formatCode>
                <c:ptCount val="6"/>
                <c:pt idx="0">
                  <c:v>94.000333333333629</c:v>
                </c:pt>
                <c:pt idx="1">
                  <c:v>1235.3630000000067</c:v>
                </c:pt>
                <c:pt idx="2">
                  <c:v>2446</c:v>
                </c:pt>
                <c:pt idx="3">
                  <c:v>0</c:v>
                </c:pt>
                <c:pt idx="4">
                  <c:v>0</c:v>
                </c:pt>
                <c:pt idx="5">
                  <c:v>131.94899999999998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F2-4A51-97F9-AD4EE5E6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D4487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17-4A6B-A564-FE6F5B0C3ACE}"/>
              </c:ext>
            </c:extLst>
          </c:dPt>
          <c:dPt>
            <c:idx val="1"/>
            <c:bubble3D val="0"/>
            <c:spPr>
              <a:solidFill>
                <a:srgbClr val="E98DE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B17-4A6B-A564-FE6F5B0C3ACE}"/>
              </c:ext>
            </c:extLst>
          </c:dPt>
          <c:dPt>
            <c:idx val="2"/>
            <c:bubble3D val="0"/>
            <c:spPr>
              <a:solidFill>
                <a:srgbClr val="E9D8F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17-4A6B-A564-FE6F5B0C3ACE}"/>
              </c:ext>
            </c:extLst>
          </c:dPt>
          <c:dPt>
            <c:idx val="3"/>
            <c:bubble3D val="0"/>
            <c:spPr>
              <a:solidFill>
                <a:srgbClr val="FFEDE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B17-4A6B-A564-FE6F5B0C3ACE}"/>
              </c:ext>
            </c:extLst>
          </c:dPt>
          <c:cat>
            <c:strRef>
              <c:f>dashboard!$L$19:$L$22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dashboard!$M$19:$M$22</c:f>
              <c:numCache>
                <c:formatCode>_-* #,##0.000\ "₫"_-;\-* #,##0.000\ "₫"_-;_-* "-"??\ "₫"_-;_-@_-</c:formatCode>
                <c:ptCount val="4"/>
                <c:pt idx="0">
                  <c:v>0.37880713452096354</c:v>
                </c:pt>
                <c:pt idx="1">
                  <c:v>0.4168238645594361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7-4A6B-A564-FE6F5B0C3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cash</a:t>
            </a:r>
            <a:r>
              <a:rPr lang="en-US" baseline="0"/>
              <a:t> flow &amp; savings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dashboard!$S$29</c:f>
              <c:strCache>
                <c:ptCount val="1"/>
                <c:pt idx="0">
                  <c:v>cash flow</c:v>
                </c:pt>
              </c:strCache>
            </c:strRef>
          </c:tx>
          <c:spPr>
            <a:ln w="28575" cap="rnd">
              <a:solidFill>
                <a:srgbClr val="82174D"/>
              </a:solidFill>
              <a:round/>
            </a:ln>
            <a:effectLst/>
          </c:spPr>
          <c:marker>
            <c:symbol val="none"/>
          </c:marker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dashboard!$S$30:$S$42</c:f>
              <c:numCache>
                <c:formatCode>_-* #,##0.000\ "₫"_-;\-* #,##0.000\ "₫"_-;_-* "-"??\ "₫"_-;_-@_-</c:formatCode>
                <c:ptCount val="13"/>
                <c:pt idx="0">
                  <c:v>-845.68299999999817</c:v>
                </c:pt>
                <c:pt idx="1">
                  <c:v>2034.7570000000005</c:v>
                </c:pt>
                <c:pt idx="2">
                  <c:v>6195.6329999999989</c:v>
                </c:pt>
                <c:pt idx="3">
                  <c:v>-2458.8400000000006</c:v>
                </c:pt>
                <c:pt idx="4">
                  <c:v>3618.3680000000022</c:v>
                </c:pt>
                <c:pt idx="5">
                  <c:v>-407.12299999999959</c:v>
                </c:pt>
                <c:pt idx="6">
                  <c:v>3452.2029999999977</c:v>
                </c:pt>
                <c:pt idx="7">
                  <c:v>-2784.0339999999997</c:v>
                </c:pt>
                <c:pt idx="8">
                  <c:v>174.05300000000079</c:v>
                </c:pt>
                <c:pt idx="9">
                  <c:v>1206.0499999999997</c:v>
                </c:pt>
                <c:pt idx="10">
                  <c:v>795.40800000000036</c:v>
                </c:pt>
                <c:pt idx="11">
                  <c:v>28720.444000000003</c:v>
                </c:pt>
                <c:pt idx="12">
                  <c:v>-195.0580000000009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A01-43A7-9B3E-6957B0248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6368"/>
        <c:axId val="868449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dashboard!$Q$29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dashboard!$Q$30:$Q$42</c15:sqref>
                        </c15:formulaRef>
                      </c:ext>
                    </c:extLst>
                    <c:numCache>
                      <c:formatCode>_-* #,##0.000\ "₫"_-;\-* #,##0.000\ "₫"_-;_-* "-"??\ "₫"_-;_-@_-</c:formatCode>
                      <c:ptCount val="13"/>
                      <c:pt idx="0">
                        <c:v>7500.0770000000002</c:v>
                      </c:pt>
                      <c:pt idx="1">
                        <c:v>8251.0630000000001</c:v>
                      </c:pt>
                      <c:pt idx="2">
                        <c:v>13108.93</c:v>
                      </c:pt>
                      <c:pt idx="3">
                        <c:v>2805.0639999999999</c:v>
                      </c:pt>
                      <c:pt idx="4">
                        <c:v>33380.322</c:v>
                      </c:pt>
                      <c:pt idx="5">
                        <c:v>5216.0569999999998</c:v>
                      </c:pt>
                      <c:pt idx="6">
                        <c:v>10664.995999999999</c:v>
                      </c:pt>
                      <c:pt idx="7">
                        <c:v>5526.0709999999999</c:v>
                      </c:pt>
                      <c:pt idx="8">
                        <c:v>4659.4420000000009</c:v>
                      </c:pt>
                      <c:pt idx="9">
                        <c:v>5157.0159999999996</c:v>
                      </c:pt>
                      <c:pt idx="10">
                        <c:v>5736</c:v>
                      </c:pt>
                      <c:pt idx="11">
                        <c:v>91591.255000000005</c:v>
                      </c:pt>
                      <c:pt idx="12">
                        <c:v>6203.0230000000001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01-43A7-9B3E-6957B02481E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dashboard!$R$29</c15:sqref>
                        </c15:formulaRef>
                      </c:ext>
                    </c:extLst>
                    <c:strCache>
                      <c:ptCount val="1"/>
                      <c:pt idx="0">
                        <c:v>expense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dashboard!$R$30:$R$42</c15:sqref>
                        </c15:formulaRef>
                      </c:ext>
                    </c:extLst>
                    <c:numCache>
                      <c:formatCode>_-* #,##0.000\ "₫"_-;\-* #,##0.000\ "₫"_-;_-* "-"??\ "₫"_-;_-@_-</c:formatCode>
                      <c:ptCount val="13"/>
                      <c:pt idx="0">
                        <c:v>8345.7599999999984</c:v>
                      </c:pt>
                      <c:pt idx="1">
                        <c:v>6216.3059999999996</c:v>
                      </c:pt>
                      <c:pt idx="2">
                        <c:v>6913.2970000000014</c:v>
                      </c:pt>
                      <c:pt idx="3">
                        <c:v>5263.9040000000005</c:v>
                      </c:pt>
                      <c:pt idx="4">
                        <c:v>29761.953999999998</c:v>
                      </c:pt>
                      <c:pt idx="5">
                        <c:v>5623.1799999999994</c:v>
                      </c:pt>
                      <c:pt idx="6">
                        <c:v>7212.7930000000015</c:v>
                      </c:pt>
                      <c:pt idx="7">
                        <c:v>8310.1049999999996</c:v>
                      </c:pt>
                      <c:pt idx="8">
                        <c:v>4485.3890000000001</c:v>
                      </c:pt>
                      <c:pt idx="9">
                        <c:v>3950.9659999999999</c:v>
                      </c:pt>
                      <c:pt idx="10">
                        <c:v>4940.5919999999996</c:v>
                      </c:pt>
                      <c:pt idx="11">
                        <c:v>62870.811000000002</c:v>
                      </c:pt>
                      <c:pt idx="12">
                        <c:v>6398.081000000001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01-43A7-9B3E-6957B02481EC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strRef>
              <c:f>dashboard!$T$29</c:f>
              <c:strCache>
                <c:ptCount val="1"/>
                <c:pt idx="0">
                  <c:v>savings rate</c:v>
                </c:pt>
              </c:strCache>
            </c:strRef>
          </c:tx>
          <c:spPr>
            <a:ln w="28575" cap="rnd">
              <a:solidFill>
                <a:srgbClr val="F0A8CC"/>
              </a:solidFill>
              <a:round/>
            </a:ln>
            <a:effectLst/>
          </c:spPr>
          <c:marker>
            <c:symbol val="none"/>
          </c:marker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dashboard!$T$30:$T$42</c:f>
              <c:numCache>
                <c:formatCode>0.0%</c:formatCode>
                <c:ptCount val="13"/>
                <c:pt idx="0">
                  <c:v>-0.11275657569915591</c:v>
                </c:pt>
                <c:pt idx="1">
                  <c:v>0.24660543738424981</c:v>
                </c:pt>
                <c:pt idx="2">
                  <c:v>0.4726269039502079</c:v>
                </c:pt>
                <c:pt idx="3">
                  <c:v>-0.87657180014431069</c:v>
                </c:pt>
                <c:pt idx="4">
                  <c:v>0.10839823534356566</c:v>
                </c:pt>
                <c:pt idx="5">
                  <c:v>-7.8051869448512473E-2</c:v>
                </c:pt>
                <c:pt idx="6">
                  <c:v>0.32369472993707621</c:v>
                </c:pt>
                <c:pt idx="7">
                  <c:v>-0.50379989688876592</c:v>
                </c:pt>
                <c:pt idx="8">
                  <c:v>3.7354902153519831E-2</c:v>
                </c:pt>
                <c:pt idx="9">
                  <c:v>0.23386586351486979</c:v>
                </c:pt>
                <c:pt idx="10">
                  <c:v>0.13866945606694567</c:v>
                </c:pt>
                <c:pt idx="11">
                  <c:v>0.31357190159693743</c:v>
                </c:pt>
                <c:pt idx="12">
                  <c:v>-3.1445635458711166E-2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A01-43A7-9B3E-6957B0248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3968"/>
        <c:axId val="86843008"/>
      </c:lineChart>
      <c:dateAx>
        <c:axId val="86846368"/>
        <c:scaling>
          <c:orientation val="minMax"/>
        </c:scaling>
        <c:delete val="0"/>
        <c:axPos val="b"/>
        <c:numFmt formatCode="[$-1010409]mmm\ yy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6844928"/>
        <c:crosses val="autoZero"/>
        <c:auto val="1"/>
        <c:lblOffset val="100"/>
        <c:baseTimeUnit val="months"/>
        <c:majorUnit val="2"/>
        <c:majorTimeUnit val="months"/>
      </c:dateAx>
      <c:valAx>
        <c:axId val="86844928"/>
        <c:scaling>
          <c:orientation val="minMax"/>
        </c:scaling>
        <c:delete val="0"/>
        <c:axPos val="l"/>
        <c:numFmt formatCode="#,\ &quot;t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6846368"/>
        <c:crosses val="autoZero"/>
        <c:crossBetween val="between"/>
        <c:majorUnit val="25000"/>
      </c:valAx>
      <c:valAx>
        <c:axId val="8684300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6843968"/>
        <c:crosses val="max"/>
        <c:crossBetween val="between"/>
        <c:majorUnit val="0.75000000000000011"/>
      </c:valAx>
      <c:dateAx>
        <c:axId val="86843968"/>
        <c:scaling>
          <c:orientation val="minMax"/>
        </c:scaling>
        <c:delete val="1"/>
        <c:axPos val="b"/>
        <c:numFmt formatCode="[$-1010409]mmm\ yyyy" sourceLinked="1"/>
        <c:majorTickMark val="out"/>
        <c:minorTickMark val="none"/>
        <c:tickLblPos val="nextTo"/>
        <c:crossAx val="8684300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AD1F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E7-4785-803A-32F540E82BB4}"/>
              </c:ext>
            </c:extLst>
          </c:dPt>
          <c:dPt>
            <c:idx val="1"/>
            <c:bubble3D val="0"/>
            <c:spPr>
              <a:solidFill>
                <a:srgbClr val="E052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E7-4785-803A-32F540E82BB4}"/>
              </c:ext>
            </c:extLst>
          </c:dPt>
          <c:dPt>
            <c:idx val="2"/>
            <c:bubble3D val="0"/>
            <c:spPr>
              <a:solidFill>
                <a:srgbClr val="F0A8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E7-4785-803A-32F540E82BB4}"/>
              </c:ext>
            </c:extLst>
          </c:dPt>
          <c:dPt>
            <c:idx val="3"/>
            <c:bubble3D val="0"/>
            <c:spPr>
              <a:solidFill>
                <a:srgbClr val="FBE9F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E7-4785-803A-32F540E82BB4}"/>
              </c:ext>
            </c:extLst>
          </c:dPt>
          <c:cat>
            <c:strRef>
              <c:f>dashboard!$E$18:$E$21</c:f>
              <c:strCache>
                <c:ptCount val="4"/>
                <c:pt idx="0">
                  <c:v>wallets</c:v>
                </c:pt>
                <c:pt idx="1">
                  <c:v>savings</c:v>
                </c:pt>
                <c:pt idx="2">
                  <c:v>investments</c:v>
                </c:pt>
                <c:pt idx="3">
                  <c:v>reveivable</c:v>
                </c:pt>
              </c:strCache>
            </c:strRef>
          </c:cat>
          <c:val>
            <c:numRef>
              <c:f>dashboard!$F$18:$F$21</c:f>
              <c:numCache>
                <c:formatCode>_("₫"* #,##0.00_);_("₫"* \(#,##0.00\);_("₫"* "-"??_);_(@_)</c:formatCode>
                <c:ptCount val="4"/>
                <c:pt idx="0" formatCode="#,##0.000\ &quot;₫&quot;">
                  <c:v>3907.3123333333401</c:v>
                </c:pt>
                <c:pt idx="1">
                  <c:v>17704.680109166562</c:v>
                </c:pt>
                <c:pt idx="2">
                  <c:v>8442.4490000000005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E7-4785-803A-32F540E82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database!$G$6</c:f>
              <c:strCache>
                <c:ptCount val="1"/>
                <c:pt idx="0">
                  <c:v>balance</c:v>
                </c:pt>
              </c:strCache>
            </c:strRef>
          </c:tx>
          <c:spPr>
            <a:ln w="28575" cap="rnd">
              <a:solidFill>
                <a:srgbClr val="F0A8CC"/>
              </a:solidFill>
              <a:round/>
            </a:ln>
            <a:effectLst/>
          </c:spPr>
          <c:marker>
            <c:symbol val="none"/>
          </c:marker>
          <c:cat>
            <c:numRef>
              <c:f>database!$F$7:$F$55</c:f>
              <c:numCache>
                <c:formatCode>[$-1010409]mmm\ yy</c:formatCode>
                <c:ptCount val="49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  <c:pt idx="6">
                  <c:v>44927</c:v>
                </c:pt>
                <c:pt idx="7">
                  <c:v>44958</c:v>
                </c:pt>
                <c:pt idx="8">
                  <c:v>44986</c:v>
                </c:pt>
                <c:pt idx="9">
                  <c:v>45017</c:v>
                </c:pt>
                <c:pt idx="10">
                  <c:v>45047</c:v>
                </c:pt>
                <c:pt idx="11">
                  <c:v>45078</c:v>
                </c:pt>
                <c:pt idx="12">
                  <c:v>45108</c:v>
                </c:pt>
                <c:pt idx="13">
                  <c:v>45139</c:v>
                </c:pt>
                <c:pt idx="14">
                  <c:v>45170</c:v>
                </c:pt>
                <c:pt idx="15">
                  <c:v>45200</c:v>
                </c:pt>
                <c:pt idx="16">
                  <c:v>45231</c:v>
                </c:pt>
                <c:pt idx="17">
                  <c:v>45261</c:v>
                </c:pt>
                <c:pt idx="18">
                  <c:v>45292</c:v>
                </c:pt>
                <c:pt idx="19">
                  <c:v>45323</c:v>
                </c:pt>
                <c:pt idx="20">
                  <c:v>45352</c:v>
                </c:pt>
                <c:pt idx="21">
                  <c:v>45383</c:v>
                </c:pt>
                <c:pt idx="22">
                  <c:v>45413</c:v>
                </c:pt>
                <c:pt idx="23">
                  <c:v>45444</c:v>
                </c:pt>
                <c:pt idx="24">
                  <c:v>45474</c:v>
                </c:pt>
                <c:pt idx="25">
                  <c:v>45505</c:v>
                </c:pt>
                <c:pt idx="26">
                  <c:v>45536</c:v>
                </c:pt>
                <c:pt idx="27">
                  <c:v>45566</c:v>
                </c:pt>
                <c:pt idx="28">
                  <c:v>45597</c:v>
                </c:pt>
                <c:pt idx="29">
                  <c:v>45627</c:v>
                </c:pt>
                <c:pt idx="30">
                  <c:v>45658</c:v>
                </c:pt>
                <c:pt idx="31">
                  <c:v>45689</c:v>
                </c:pt>
                <c:pt idx="32">
                  <c:v>45717</c:v>
                </c:pt>
                <c:pt idx="33">
                  <c:v>45748</c:v>
                </c:pt>
                <c:pt idx="34">
                  <c:v>45778</c:v>
                </c:pt>
                <c:pt idx="35">
                  <c:v>45809</c:v>
                </c:pt>
                <c:pt idx="36">
                  <c:v>45839</c:v>
                </c:pt>
                <c:pt idx="37">
                  <c:v>45870</c:v>
                </c:pt>
                <c:pt idx="38">
                  <c:v>45901</c:v>
                </c:pt>
                <c:pt idx="39">
                  <c:v>45931</c:v>
                </c:pt>
                <c:pt idx="40">
                  <c:v>45962</c:v>
                </c:pt>
                <c:pt idx="41">
                  <c:v>45992</c:v>
                </c:pt>
                <c:pt idx="42">
                  <c:v>46023</c:v>
                </c:pt>
                <c:pt idx="43">
                  <c:v>46054</c:v>
                </c:pt>
                <c:pt idx="44">
                  <c:v>46082</c:v>
                </c:pt>
                <c:pt idx="45">
                  <c:v>46113</c:v>
                </c:pt>
                <c:pt idx="46">
                  <c:v>46143</c:v>
                </c:pt>
                <c:pt idx="47">
                  <c:v>46174</c:v>
                </c:pt>
                <c:pt idx="48">
                  <c:v>46204</c:v>
                </c:pt>
              </c:numCache>
            </c:numRef>
          </c:cat>
          <c:val>
            <c:numRef>
              <c:f>database!$G$7:$G$55</c:f>
              <c:numCache>
                <c:formatCode>_-* #,##0.000\ "₫"_-;\-* #,##0.000\ "₫"_-;_-* "-"???\ "₫"_-;_-@_-</c:formatCode>
                <c:ptCount val="49"/>
                <c:pt idx="0">
                  <c:v>11409.516</c:v>
                </c:pt>
                <c:pt idx="1">
                  <c:v>12264.099932227575</c:v>
                </c:pt>
                <c:pt idx="2">
                  <c:v>13037.103679806258</c:v>
                </c:pt>
                <c:pt idx="3">
                  <c:v>14478.924495333778</c:v>
                </c:pt>
                <c:pt idx="4">
                  <c:v>15675.314839221341</c:v>
                </c:pt>
                <c:pt idx="5">
                  <c:v>18121.897635938731</c:v>
                </c:pt>
                <c:pt idx="6">
                  <c:v>22623.609618839317</c:v>
                </c:pt>
                <c:pt idx="7">
                  <c:v>25478.470913582911</c:v>
                </c:pt>
                <c:pt idx="8">
                  <c:v>27439.069746770729</c:v>
                </c:pt>
                <c:pt idx="9">
                  <c:v>28837.610716818101</c:v>
                </c:pt>
                <c:pt idx="10">
                  <c:v>29533.302037414011</c:v>
                </c:pt>
                <c:pt idx="11">
                  <c:v>28313.538444572951</c:v>
                </c:pt>
                <c:pt idx="12">
                  <c:v>28104.112995827199</c:v>
                </c:pt>
                <c:pt idx="13">
                  <c:v>29534.006173499114</c:v>
                </c:pt>
                <c:pt idx="14">
                  <c:v>30066.016484296022</c:v>
                </c:pt>
                <c:pt idx="15">
                  <c:v>31350.196437777293</c:v>
                </c:pt>
                <c:pt idx="16">
                  <c:v>24395.434880227975</c:v>
                </c:pt>
                <c:pt idx="17">
                  <c:v>25043.247086036077</c:v>
                </c:pt>
                <c:pt idx="18">
                  <c:v>26986.114981266874</c:v>
                </c:pt>
                <c:pt idx="19">
                  <c:v>31577.788471295415</c:v>
                </c:pt>
                <c:pt idx="20">
                  <c:v>32827.420748174743</c:v>
                </c:pt>
                <c:pt idx="21">
                  <c:v>33124.251909459614</c:v>
                </c:pt>
                <c:pt idx="22">
                  <c:v>33894.122926793163</c:v>
                </c:pt>
                <c:pt idx="23">
                  <c:v>35608.321619153787</c:v>
                </c:pt>
                <c:pt idx="24">
                  <c:v>26213.939229874373</c:v>
                </c:pt>
                <c:pt idx="25">
                  <c:v>34968.088030253261</c:v>
                </c:pt>
                <c:pt idx="26">
                  <c:v>33891.991423373984</c:v>
                </c:pt>
                <c:pt idx="27">
                  <c:v>34697.059994018797</c:v>
                </c:pt>
                <c:pt idx="28">
                  <c:v>33012.046967620961</c:v>
                </c:pt>
                <c:pt idx="29">
                  <c:v>33381.678383323153</c:v>
                </c:pt>
                <c:pt idx="30">
                  <c:v>39531.294245650701</c:v>
                </c:pt>
                <c:pt idx="31">
                  <c:v>40288.801100573139</c:v>
                </c:pt>
                <c:pt idx="32">
                  <c:v>39395.100899519479</c:v>
                </c:pt>
                <c:pt idx="33">
                  <c:v>43052.134453189639</c:v>
                </c:pt>
                <c:pt idx="34">
                  <c:v>45329.589932650524</c:v>
                </c:pt>
                <c:pt idx="35">
                  <c:v>49055.173155441829</c:v>
                </c:pt>
                <c:pt idx="36">
                  <c:v>52412.361528128837</c:v>
                </c:pt>
                <c:pt idx="37">
                  <c:v>50651.599232114422</c:v>
                </c:pt>
                <c:pt idx="38">
                  <c:v>49225.642832821737</c:v>
                </c:pt>
                <c:pt idx="39">
                  <c:v>46540.856420462806</c:v>
                </c:pt>
                <c:pt idx="40">
                  <c:v>47995.967754016092</c:v>
                </c:pt>
                <c:pt idx="41">
                  <c:v>73568.757089029925</c:v>
                </c:pt>
                <c:pt idx="42">
                  <c:v>75274.895277522461</c:v>
                </c:pt>
                <c:pt idx="43">
                  <c:v>76489.515360874575</c:v>
                </c:pt>
                <c:pt idx="44">
                  <c:v>76858.985811737322</c:v>
                </c:pt>
                <c:pt idx="45">
                  <c:v>79437.958197844389</c:v>
                </c:pt>
                <c:pt idx="46">
                  <c:v>79437.958197844389</c:v>
                </c:pt>
                <c:pt idx="47">
                  <c:v>79437.958197844389</c:v>
                </c:pt>
                <c:pt idx="48">
                  <c:v>30104.441442499901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06E-4DA4-9BE0-5F95959E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652704"/>
        <c:axId val="482653184"/>
      </c:lineChart>
      <c:dateAx>
        <c:axId val="482652704"/>
        <c:scaling>
          <c:orientation val="minMax"/>
        </c:scaling>
        <c:delete val="0"/>
        <c:axPos val="b"/>
        <c:numFmt formatCode="[$-1010409]mmm\ 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482653184"/>
        <c:crosses val="autoZero"/>
        <c:auto val="1"/>
        <c:lblOffset val="100"/>
        <c:baseTimeUnit val="months"/>
        <c:majorUnit val="12"/>
        <c:majorTimeUnit val="months"/>
      </c:dateAx>
      <c:valAx>
        <c:axId val="482653184"/>
        <c:scaling>
          <c:orientation val="minMax"/>
        </c:scaling>
        <c:delete val="0"/>
        <c:axPos val="l"/>
        <c:numFmt formatCode="#,\ &quot;tr&quot;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48265270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 7.7.xlsm]database!income_group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income by group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#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database!$N$10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1EF9F"/>
            </a:solidFill>
            <a:ln>
              <a:noFill/>
            </a:ln>
            <a:effectLst/>
          </c:spPr>
          <c:invertIfNegative val="0"/>
          <c:dLbls>
            <c:numFmt formatCode="#,###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database!$M$11:$M$14</c:f>
              <c:strCache>
                <c:ptCount val="3"/>
                <c:pt idx="0">
                  <c:v>assets</c:v>
                </c:pt>
                <c:pt idx="1">
                  <c:v>employment</c:v>
                </c:pt>
                <c:pt idx="2">
                  <c:v>other</c:v>
                </c:pt>
              </c:strCache>
            </c:strRef>
          </c:cat>
          <c:val>
            <c:numRef>
              <c:f>database!$N$11:$N$14</c:f>
              <c:numCache>
                <c:formatCode>#,##0.000\ "₫"</c:formatCode>
                <c:ptCount val="3"/>
                <c:pt idx="0">
                  <c:v>2.3E-2</c:v>
                </c:pt>
                <c:pt idx="1">
                  <c:v>50</c:v>
                </c:pt>
                <c:pt idx="2">
                  <c:v>6153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D-44E0-BCDC-38C87626E8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09874287"/>
        <c:axId val="609874767"/>
      </c:barChart>
      <c:catAx>
        <c:axId val="6098742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D1EF9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609874767"/>
        <c:crosses val="autoZero"/>
        <c:auto val="1"/>
        <c:lblAlgn val="ctr"/>
        <c:lblOffset val="100"/>
        <c:noMultiLvlLbl val="0"/>
      </c:catAx>
      <c:valAx>
        <c:axId val="609874767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D1EF9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609874287"/>
        <c:crosses val="autoZero"/>
        <c:crossBetween val="between"/>
        <c:majorUnit val="3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 7.7.xlsm]database!expense_group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expense by group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#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database!$N$19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B0000"/>
            </a:solidFill>
            <a:ln>
              <a:noFill/>
            </a:ln>
            <a:effectLst/>
          </c:spPr>
          <c:invertIfNegative val="0"/>
          <c:dLbls>
            <c:numFmt formatCode="#,###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database!$M$20:$M$22</c:f>
              <c:strCache>
                <c:ptCount val="2"/>
                <c:pt idx="0">
                  <c:v>essentials</c:v>
                </c:pt>
                <c:pt idx="1">
                  <c:v>personal &amp; leisure</c:v>
                </c:pt>
              </c:strCache>
            </c:strRef>
          </c:cat>
          <c:val>
            <c:numRef>
              <c:f>database!$N$20:$N$22</c:f>
              <c:numCache>
                <c:formatCode>#,##0.000\ "₫"</c:formatCode>
                <c:ptCount val="2"/>
                <c:pt idx="0">
                  <c:v>4428.08</c:v>
                </c:pt>
                <c:pt idx="1">
                  <c:v>1970.001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4-4260-BBCB-DCAE769803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69040463"/>
        <c:axId val="2069037103"/>
      </c:barChart>
      <c:catAx>
        <c:axId val="20690404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8B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2069037103"/>
        <c:crosses val="autoZero"/>
        <c:auto val="1"/>
        <c:lblAlgn val="ctr"/>
        <c:lblOffset val="100"/>
        <c:noMultiLvlLbl val="0"/>
      </c:catAx>
      <c:valAx>
        <c:axId val="2069037103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8B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206904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bg1"/>
          </a:solidFill>
          <a:latin typeface="Montserrat" pitchFamily="2" charset="0"/>
          <a:ea typeface="+mn-ea"/>
          <a:cs typeface="+mn-cs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 7.7.xlsm]database!income_category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income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database!$Q$10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1EF9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database!$P$11:$P$15</c:f>
              <c:strCache>
                <c:ptCount val="4"/>
                <c:pt idx="0">
                  <c:v>family allowance</c:v>
                </c:pt>
                <c:pt idx="1">
                  <c:v>reimbursement</c:v>
                </c:pt>
                <c:pt idx="2">
                  <c:v>base salary &amp; allowances</c:v>
                </c:pt>
                <c:pt idx="3">
                  <c:v>dividends &amp; profits</c:v>
                </c:pt>
              </c:strCache>
            </c:strRef>
          </c:cat>
          <c:val>
            <c:numRef>
              <c:f>database!$Q$11:$Q$15</c:f>
              <c:numCache>
                <c:formatCode>#,##0.000\ "₫"</c:formatCode>
                <c:ptCount val="4"/>
                <c:pt idx="0">
                  <c:v>5880</c:v>
                </c:pt>
                <c:pt idx="1">
                  <c:v>273</c:v>
                </c:pt>
                <c:pt idx="2">
                  <c:v>50</c:v>
                </c:pt>
                <c:pt idx="3">
                  <c:v>2.3E-2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E-434E-92D6-409363A258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12304639"/>
        <c:axId val="812310879"/>
      </c:barChart>
      <c:catAx>
        <c:axId val="81230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D1EF9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12310879"/>
        <c:crosses val="autoZero"/>
        <c:auto val="1"/>
        <c:lblAlgn val="ctr"/>
        <c:lblOffset val="100"/>
        <c:noMultiLvlLbl val="0"/>
      </c:catAx>
      <c:valAx>
        <c:axId val="812310879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D1EF9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12304639"/>
        <c:crosses val="autoZero"/>
        <c:crossBetween val="between"/>
        <c:majorUnit val="3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 7.7.xlsm]database!expense_category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expense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#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database!$Q$19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B0000"/>
            </a:solidFill>
            <a:ln>
              <a:noFill/>
            </a:ln>
            <a:effectLst/>
          </c:spPr>
          <c:invertIfNegative val="0"/>
          <c:dLbls>
            <c:numFmt formatCode="#,###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database!$P$20:$P$25</c:f>
              <c:strCache>
                <c:ptCount val="5"/>
                <c:pt idx="0">
                  <c:v>housing</c:v>
                </c:pt>
                <c:pt idx="1">
                  <c:v>travel &amp; vacation</c:v>
                </c:pt>
                <c:pt idx="2">
                  <c:v>food &amp; groceries</c:v>
                </c:pt>
                <c:pt idx="3">
                  <c:v>basic transit</c:v>
                </c:pt>
                <c:pt idx="4">
                  <c:v>dining out</c:v>
                </c:pt>
              </c:strCache>
            </c:strRef>
          </c:cat>
          <c:val>
            <c:numRef>
              <c:f>database!$Q$20:$Q$25</c:f>
              <c:numCache>
                <c:formatCode>#,##0.000\ "₫"</c:formatCode>
                <c:ptCount val="5"/>
                <c:pt idx="0">
                  <c:v>2843</c:v>
                </c:pt>
                <c:pt idx="1">
                  <c:v>1561</c:v>
                </c:pt>
                <c:pt idx="2">
                  <c:v>609.41000000000008</c:v>
                </c:pt>
                <c:pt idx="3">
                  <c:v>558.34299999999996</c:v>
                </c:pt>
                <c:pt idx="4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0-4C08-851B-B44D8D78D6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05319455"/>
        <c:axId val="705329055"/>
      </c:barChart>
      <c:catAx>
        <c:axId val="7053194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8B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05329055"/>
        <c:crosses val="autoZero"/>
        <c:auto val="1"/>
        <c:lblAlgn val="ctr"/>
        <c:lblOffset val="100"/>
        <c:noMultiLvlLbl val="0"/>
      </c:catAx>
      <c:valAx>
        <c:axId val="705329055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8B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0531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incom &amp; enxpense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dashboard!$Q$29</c:f>
              <c:strCache>
                <c:ptCount val="1"/>
                <c:pt idx="0">
                  <c:v>income</c:v>
                </c:pt>
              </c:strCache>
            </c:strRef>
          </c:tx>
          <c:spPr>
            <a:solidFill>
              <a:srgbClr val="D1EF9F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D1EF9F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dashboard!$Q$30:$Q$42</c:f>
              <c:numCache>
                <c:formatCode>_-* #,##0.000\ "₫"_-;\-* #,##0.000\ "₫"_-;_-* "-"??\ "₫"_-;_-@_-</c:formatCode>
                <c:ptCount val="13"/>
                <c:pt idx="0">
                  <c:v>7500.0770000000002</c:v>
                </c:pt>
                <c:pt idx="1">
                  <c:v>8251.0630000000001</c:v>
                </c:pt>
                <c:pt idx="2">
                  <c:v>13108.93</c:v>
                </c:pt>
                <c:pt idx="3">
                  <c:v>2805.0639999999999</c:v>
                </c:pt>
                <c:pt idx="4">
                  <c:v>33380.322</c:v>
                </c:pt>
                <c:pt idx="5">
                  <c:v>5216.0569999999998</c:v>
                </c:pt>
                <c:pt idx="6">
                  <c:v>10664.995999999999</c:v>
                </c:pt>
                <c:pt idx="7">
                  <c:v>5526.0709999999999</c:v>
                </c:pt>
                <c:pt idx="8">
                  <c:v>4659.4420000000009</c:v>
                </c:pt>
                <c:pt idx="9">
                  <c:v>5157.0159999999996</c:v>
                </c:pt>
                <c:pt idx="10">
                  <c:v>5736</c:v>
                </c:pt>
                <c:pt idx="11">
                  <c:v>91591.255000000005</c:v>
                </c:pt>
                <c:pt idx="12">
                  <c:v>6203.0230000000001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68-4646-8C81-2C42151A67B8}"/>
            </c:ext>
          </c:extLst>
        </c:ser>
        <c:ser>
          <c:idx val="1"/>
          <c:order val="1"/>
          <c:tx>
            <c:strRef>
              <c:f>dashboard!$R$29</c:f>
              <c:strCache>
                <c:ptCount val="1"/>
                <c:pt idx="0">
                  <c:v>expense</c:v>
                </c:pt>
              </c:strCache>
            </c:strRef>
          </c:tx>
          <c:spPr>
            <a:solidFill>
              <a:srgbClr val="8B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8B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dashboard!$R$30:$R$42</c:f>
              <c:numCache>
                <c:formatCode>_-* #,##0.000\ "₫"_-;\-* #,##0.000\ "₫"_-;_-* "-"??\ "₫"_-;_-@_-</c:formatCode>
                <c:ptCount val="13"/>
                <c:pt idx="0">
                  <c:v>8345.7599999999984</c:v>
                </c:pt>
                <c:pt idx="1">
                  <c:v>6216.3059999999996</c:v>
                </c:pt>
                <c:pt idx="2">
                  <c:v>6913.2970000000014</c:v>
                </c:pt>
                <c:pt idx="3">
                  <c:v>5263.9040000000005</c:v>
                </c:pt>
                <c:pt idx="4">
                  <c:v>29761.953999999998</c:v>
                </c:pt>
                <c:pt idx="5">
                  <c:v>5623.1799999999994</c:v>
                </c:pt>
                <c:pt idx="6">
                  <c:v>7212.7930000000015</c:v>
                </c:pt>
                <c:pt idx="7">
                  <c:v>8310.1049999999996</c:v>
                </c:pt>
                <c:pt idx="8">
                  <c:v>4485.3890000000001</c:v>
                </c:pt>
                <c:pt idx="9">
                  <c:v>3950.9659999999999</c:v>
                </c:pt>
                <c:pt idx="10">
                  <c:v>4940.5919999999996</c:v>
                </c:pt>
                <c:pt idx="11">
                  <c:v>62870.811000000002</c:v>
                </c:pt>
                <c:pt idx="12">
                  <c:v>6398.081000000001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68-4646-8C81-2C42151A6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246528"/>
        <c:axId val="364254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dashboard!$S$29</c15:sqref>
                        </c15:formulaRef>
                      </c:ext>
                    </c:extLst>
                    <c:strCache>
                      <c:ptCount val="1"/>
                      <c:pt idx="0">
                        <c:v>cash flow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dashboard!$S$30:$S$42</c15:sqref>
                        </c15:formulaRef>
                      </c:ext>
                    </c:extLst>
                    <c:numCache>
                      <c:formatCode>_-* #,##0.000\ "₫"_-;\-* #,##0.000\ "₫"_-;_-* "-"??\ "₫"_-;_-@_-</c:formatCode>
                      <c:ptCount val="13"/>
                      <c:pt idx="0">
                        <c:v>-845.68299999999817</c:v>
                      </c:pt>
                      <c:pt idx="1">
                        <c:v>2034.7570000000005</c:v>
                      </c:pt>
                      <c:pt idx="2">
                        <c:v>6195.6329999999989</c:v>
                      </c:pt>
                      <c:pt idx="3">
                        <c:v>-2458.8400000000006</c:v>
                      </c:pt>
                      <c:pt idx="4">
                        <c:v>3618.3680000000022</c:v>
                      </c:pt>
                      <c:pt idx="5">
                        <c:v>-407.12299999999959</c:v>
                      </c:pt>
                      <c:pt idx="6">
                        <c:v>3452.2029999999977</c:v>
                      </c:pt>
                      <c:pt idx="7">
                        <c:v>-2784.0339999999997</c:v>
                      </c:pt>
                      <c:pt idx="8">
                        <c:v>174.05300000000079</c:v>
                      </c:pt>
                      <c:pt idx="9">
                        <c:v>1206.0499999999997</c:v>
                      </c:pt>
                      <c:pt idx="10">
                        <c:v>795.40800000000036</c:v>
                      </c:pt>
                      <c:pt idx="11">
                        <c:v>28720.444000000003</c:v>
                      </c:pt>
                      <c:pt idx="12">
                        <c:v>-195.0580000000009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4868-4646-8C81-2C42151A67B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dashboard!$T$29</c15:sqref>
                        </c15:formulaRef>
                      </c:ext>
                    </c:extLst>
                    <c:strCache>
                      <c:ptCount val="1"/>
                      <c:pt idx="0">
                        <c:v>savings rate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dashboard!$T$30:$T$42</c15:sqref>
                        </c15:formulaRef>
                      </c:ext>
                    </c:extLst>
                    <c:numCache>
                      <c:formatCode>0.0%</c:formatCode>
                      <c:ptCount val="13"/>
                      <c:pt idx="0">
                        <c:v>-0.11275657569915591</c:v>
                      </c:pt>
                      <c:pt idx="1">
                        <c:v>0.24660543738424981</c:v>
                      </c:pt>
                      <c:pt idx="2">
                        <c:v>0.4726269039502079</c:v>
                      </c:pt>
                      <c:pt idx="3">
                        <c:v>-0.87657180014431069</c:v>
                      </c:pt>
                      <c:pt idx="4">
                        <c:v>0.10839823534356566</c:v>
                      </c:pt>
                      <c:pt idx="5">
                        <c:v>-7.8051869448512473E-2</c:v>
                      </c:pt>
                      <c:pt idx="6">
                        <c:v>0.32369472993707621</c:v>
                      </c:pt>
                      <c:pt idx="7">
                        <c:v>-0.50379989688876592</c:v>
                      </c:pt>
                      <c:pt idx="8">
                        <c:v>3.7354902153519831E-2</c:v>
                      </c:pt>
                      <c:pt idx="9">
                        <c:v>0.23386586351486979</c:v>
                      </c:pt>
                      <c:pt idx="10">
                        <c:v>0.13866945606694567</c:v>
                      </c:pt>
                      <c:pt idx="11">
                        <c:v>0.31357190159693743</c:v>
                      </c:pt>
                      <c:pt idx="12">
                        <c:v>-3.1445635458711166E-2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868-4646-8C81-2C42151A67B8}"/>
                  </c:ext>
                </c:extLst>
              </c15:ser>
            </c15:filteredBarSeries>
          </c:ext>
        </c:extLst>
      </c:barChart>
      <c:dateAx>
        <c:axId val="364246528"/>
        <c:scaling>
          <c:orientation val="minMax"/>
        </c:scaling>
        <c:delete val="0"/>
        <c:axPos val="b"/>
        <c:numFmt formatCode="[$-1010409]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364254208"/>
        <c:crosses val="autoZero"/>
        <c:auto val="1"/>
        <c:lblOffset val="100"/>
        <c:baseTimeUnit val="months"/>
      </c:dateAx>
      <c:valAx>
        <c:axId val="364254208"/>
        <c:scaling>
          <c:orientation val="minMax"/>
        </c:scaling>
        <c:delete val="0"/>
        <c:axPos val="l"/>
        <c:numFmt formatCode="#,\ &quot;tr&quot;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364246528"/>
        <c:crosses val="autoZero"/>
        <c:crossBetween val="between"/>
        <c:majorUnit val="1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defRPr>
            </a:pPr>
            <a:r>
              <a:rPr lang="en-US" sz="140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funds</a:t>
            </a:r>
            <a:endParaRPr lang="vi-VN" sz="1400"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endParaRPr>
          </a:p>
        </c:rich>
      </c:tx>
      <c:layout>
        <c:manualLayout>
          <c:xMode val="edge"/>
          <c:yMode val="edge"/>
          <c:x val="0.41376060320452407"/>
          <c:y val="3.292181069958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defRPr>
          </a:pPr>
          <a:endParaRPr lang="vi-V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finance!$C$6</c:f>
              <c:strCache>
                <c:ptCount val="1"/>
                <c:pt idx="0">
                  <c:v>cash</c:v>
                </c:pt>
              </c:strCache>
            </c:strRef>
          </c:tx>
          <c:spPr>
            <a:solidFill>
              <a:srgbClr val="F2B5D4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finance!$C$7:$C$10</c:f>
              <c:numCache>
                <c:formatCode>#,##0.000\ "₫"</c:formatCode>
                <c:ptCount val="4"/>
                <c:pt idx="0">
                  <c:v>10458.157999999999</c:v>
                </c:pt>
                <c:pt idx="1">
                  <c:v>4326.66</c:v>
                </c:pt>
                <c:pt idx="2">
                  <c:v>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5-4D12-861A-96F353C8E43A}"/>
            </c:ext>
          </c:extLst>
        </c:ser>
        <c:ser>
          <c:idx val="1"/>
          <c:order val="1"/>
          <c:tx>
            <c:strRef>
              <c:f>finance!$E$6</c:f>
              <c:strCache>
                <c:ptCount val="1"/>
                <c:pt idx="0">
                  <c:v>saving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finance!$E$7:$E$10</c:f>
              <c:numCache>
                <c:formatCode>#,##0.000\ "₫"</c:formatCode>
                <c:ptCount val="4"/>
                <c:pt idx="0">
                  <c:v>7552.0960217643833</c:v>
                </c:pt>
                <c:pt idx="1">
                  <c:v>3092.4707515205482</c:v>
                </c:pt>
                <c:pt idx="2">
                  <c:v>6590.7230446487511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5-4D12-861A-96F353C8E43A}"/>
            </c:ext>
          </c:extLst>
        </c:ser>
        <c:ser>
          <c:idx val="2"/>
          <c:order val="2"/>
          <c:tx>
            <c:strRef>
              <c:f>finance!$G$6</c:f>
              <c:strCache>
                <c:ptCount val="1"/>
                <c:pt idx="0">
                  <c:v>fund cert</c:v>
                </c:pt>
              </c:strCache>
            </c:strRef>
          </c:tx>
          <c:spPr>
            <a:solidFill>
              <a:srgbClr val="82174D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finance!$G$7:$G$10</c:f>
              <c:numCache>
                <c:formatCode>#,##0.000\ "₫"</c:formatCode>
                <c:ptCount val="4"/>
                <c:pt idx="0">
                  <c:v>1926.2660000000001</c:v>
                </c:pt>
                <c:pt idx="1">
                  <c:v>0</c:v>
                </c:pt>
                <c:pt idx="2">
                  <c:v>0</c:v>
                </c:pt>
                <c:pt idx="3">
                  <c:v>6516.183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A5-4D12-861A-96F353C8E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7102816"/>
        <c:axId val="347113856"/>
      </c:barChart>
      <c:catAx>
        <c:axId val="347102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13856"/>
        <c:crosses val="autoZero"/>
        <c:auto val="1"/>
        <c:lblAlgn val="ctr"/>
        <c:lblOffset val="100"/>
        <c:noMultiLvlLbl val="0"/>
      </c:catAx>
      <c:valAx>
        <c:axId val="347113856"/>
        <c:scaling>
          <c:orientation val="minMax"/>
        </c:scaling>
        <c:delete val="0"/>
        <c:axPos val="b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02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Montserrat Ligh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 sz="1100">
          <a:solidFill>
            <a:schemeClr val="bg1"/>
          </a:solidFill>
          <a:latin typeface="Montserrat Ligh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funds process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finance!$I$6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AD1F66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finance!$I$7:$I$10</c:f>
              <c:numCache>
                <c:formatCode>#,##0.000\ "₫"</c:formatCode>
                <c:ptCount val="4"/>
                <c:pt idx="0">
                  <c:v>19936.520021764383</c:v>
                </c:pt>
                <c:pt idx="1">
                  <c:v>7419.1307515205481</c:v>
                </c:pt>
                <c:pt idx="2">
                  <c:v>6590.7230446487511</c:v>
                </c:pt>
                <c:pt idx="3">
                  <c:v>6566.183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AC-4205-8F12-73E14F341762}"/>
            </c:ext>
          </c:extLst>
        </c:ser>
        <c:ser>
          <c:idx val="1"/>
          <c:order val="1"/>
          <c:tx>
            <c:strRef>
              <c:f>finance!$J$6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rgbClr val="F0A8CC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finance!$J$7:$J$10</c:f>
              <c:numCache>
                <c:formatCode>#,##0.000\ "₫"</c:formatCode>
                <c:ptCount val="4"/>
                <c:pt idx="0">
                  <c:v>30000</c:v>
                </c:pt>
                <c:pt idx="1">
                  <c:v>13000</c:v>
                </c:pt>
                <c:pt idx="2">
                  <c:v>11000</c:v>
                </c:pt>
                <c:pt idx="3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AC-4205-8F12-73E14F341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2036415"/>
        <c:axId val="752034975"/>
      </c:barChart>
      <c:catAx>
        <c:axId val="7520364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4975"/>
        <c:crosses val="autoZero"/>
        <c:auto val="1"/>
        <c:lblAlgn val="ctr"/>
        <c:lblOffset val="100"/>
        <c:noMultiLvlLbl val="0"/>
      </c:catAx>
      <c:valAx>
        <c:axId val="752034975"/>
        <c:scaling>
          <c:orientation val="minMax"/>
        </c:scaling>
        <c:delete val="0"/>
        <c:axPos val="b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64109260079677"/>
          <c:y val="0.9462816623517355"/>
          <c:w val="0.20717813314216976"/>
          <c:h val="4.5603881649061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fund</a:t>
            </a:r>
            <a:r>
              <a:rPr lang="en-US" baseline="0"/>
              <a:t> certificates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database!$J$6</c:f>
              <c:strCache>
                <c:ptCount val="1"/>
                <c:pt idx="0">
                  <c:v>principal</c:v>
                </c:pt>
              </c:strCache>
            </c:strRef>
          </c:tx>
          <c:spPr>
            <a:ln w="28575" cap="rnd">
              <a:solidFill>
                <a:srgbClr val="82174D"/>
              </a:solidFill>
              <a:round/>
            </a:ln>
            <a:effectLst/>
          </c:spPr>
          <c:marker>
            <c:symbol val="none"/>
          </c:marker>
          <c:cat>
            <c:numRef>
              <c:f>database!$I$7:$I$55</c:f>
              <c:numCache>
                <c:formatCode>[$-1010409]mmm\ yy</c:formatCode>
                <c:ptCount val="49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  <c:pt idx="6">
                  <c:v>44927</c:v>
                </c:pt>
                <c:pt idx="7">
                  <c:v>44958</c:v>
                </c:pt>
                <c:pt idx="8">
                  <c:v>44986</c:v>
                </c:pt>
                <c:pt idx="9">
                  <c:v>45017</c:v>
                </c:pt>
                <c:pt idx="10">
                  <c:v>45047</c:v>
                </c:pt>
                <c:pt idx="11">
                  <c:v>45078</c:v>
                </c:pt>
                <c:pt idx="12">
                  <c:v>45108</c:v>
                </c:pt>
                <c:pt idx="13">
                  <c:v>45139</c:v>
                </c:pt>
                <c:pt idx="14">
                  <c:v>45170</c:v>
                </c:pt>
                <c:pt idx="15">
                  <c:v>45200</c:v>
                </c:pt>
                <c:pt idx="16">
                  <c:v>45231</c:v>
                </c:pt>
                <c:pt idx="17">
                  <c:v>45261</c:v>
                </c:pt>
                <c:pt idx="18">
                  <c:v>45292</c:v>
                </c:pt>
                <c:pt idx="19">
                  <c:v>45323</c:v>
                </c:pt>
                <c:pt idx="20">
                  <c:v>45352</c:v>
                </c:pt>
                <c:pt idx="21">
                  <c:v>45383</c:v>
                </c:pt>
                <c:pt idx="22">
                  <c:v>45413</c:v>
                </c:pt>
                <c:pt idx="23">
                  <c:v>45444</c:v>
                </c:pt>
                <c:pt idx="24">
                  <c:v>45474</c:v>
                </c:pt>
                <c:pt idx="25">
                  <c:v>45505</c:v>
                </c:pt>
                <c:pt idx="26">
                  <c:v>45536</c:v>
                </c:pt>
                <c:pt idx="27">
                  <c:v>45566</c:v>
                </c:pt>
                <c:pt idx="28">
                  <c:v>45597</c:v>
                </c:pt>
                <c:pt idx="29">
                  <c:v>45627</c:v>
                </c:pt>
                <c:pt idx="30">
                  <c:v>45658</c:v>
                </c:pt>
                <c:pt idx="31">
                  <c:v>45689</c:v>
                </c:pt>
                <c:pt idx="32">
                  <c:v>45717</c:v>
                </c:pt>
                <c:pt idx="33">
                  <c:v>45748</c:v>
                </c:pt>
                <c:pt idx="34">
                  <c:v>45778</c:v>
                </c:pt>
                <c:pt idx="35">
                  <c:v>45809</c:v>
                </c:pt>
                <c:pt idx="36">
                  <c:v>45839</c:v>
                </c:pt>
                <c:pt idx="37">
                  <c:v>45870</c:v>
                </c:pt>
                <c:pt idx="38">
                  <c:v>45901</c:v>
                </c:pt>
                <c:pt idx="39">
                  <c:v>45931</c:v>
                </c:pt>
                <c:pt idx="40">
                  <c:v>45962</c:v>
                </c:pt>
                <c:pt idx="41">
                  <c:v>45992</c:v>
                </c:pt>
                <c:pt idx="42">
                  <c:v>46023</c:v>
                </c:pt>
                <c:pt idx="43">
                  <c:v>46054</c:v>
                </c:pt>
                <c:pt idx="44">
                  <c:v>46082</c:v>
                </c:pt>
                <c:pt idx="45">
                  <c:v>46113</c:v>
                </c:pt>
                <c:pt idx="46">
                  <c:v>46143</c:v>
                </c:pt>
                <c:pt idx="47">
                  <c:v>46174</c:v>
                </c:pt>
                <c:pt idx="48">
                  <c:v>46204</c:v>
                </c:pt>
              </c:numCache>
            </c:numRef>
          </c:cat>
          <c:val>
            <c:numRef>
              <c:f>database!$J$7:$J$55</c:f>
              <c:numCache>
                <c:formatCode>_-* #,##0.000\ "₫"_-;\-* #,##0.000\ "₫"_-;_-* "-"???\ "₫"_-;_-@_-</c:formatCode>
                <c:ptCount val="49"/>
                <c:pt idx="0">
                  <c:v>1200</c:v>
                </c:pt>
                <c:pt idx="1">
                  <c:v>1300</c:v>
                </c:pt>
                <c:pt idx="2">
                  <c:v>1400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1418.5840000000001</c:v>
                </c:pt>
                <c:pt idx="8">
                  <c:v>1418.5840000000001</c:v>
                </c:pt>
                <c:pt idx="9">
                  <c:v>1418.5840000000001</c:v>
                </c:pt>
                <c:pt idx="10">
                  <c:v>1518.5840000000001</c:v>
                </c:pt>
                <c:pt idx="11">
                  <c:v>1480.548</c:v>
                </c:pt>
                <c:pt idx="12">
                  <c:v>1680.548</c:v>
                </c:pt>
                <c:pt idx="13">
                  <c:v>1880.5480000000002</c:v>
                </c:pt>
                <c:pt idx="14">
                  <c:v>2080.5480000000002</c:v>
                </c:pt>
                <c:pt idx="15">
                  <c:v>2480.5480000000002</c:v>
                </c:pt>
                <c:pt idx="16">
                  <c:v>2480.5480000000002</c:v>
                </c:pt>
                <c:pt idx="17">
                  <c:v>2680.5480000000002</c:v>
                </c:pt>
                <c:pt idx="18">
                  <c:v>2880.5480000000002</c:v>
                </c:pt>
                <c:pt idx="19">
                  <c:v>3080.5479999999998</c:v>
                </c:pt>
                <c:pt idx="20">
                  <c:v>3280.5479999999998</c:v>
                </c:pt>
                <c:pt idx="21">
                  <c:v>3380.5479999999998</c:v>
                </c:pt>
                <c:pt idx="22">
                  <c:v>3280.5479999999998</c:v>
                </c:pt>
                <c:pt idx="23">
                  <c:v>3280.5479999999998</c:v>
                </c:pt>
                <c:pt idx="24">
                  <c:v>3481.4466950000001</c:v>
                </c:pt>
                <c:pt idx="25">
                  <c:v>3530.8326949999996</c:v>
                </c:pt>
                <c:pt idx="26">
                  <c:v>3530.8326949999996</c:v>
                </c:pt>
                <c:pt idx="27">
                  <c:v>3530.8326949999996</c:v>
                </c:pt>
                <c:pt idx="28">
                  <c:v>3530.8326949999996</c:v>
                </c:pt>
                <c:pt idx="29">
                  <c:v>3530.8326949999996</c:v>
                </c:pt>
                <c:pt idx="30">
                  <c:v>5843.8016949999992</c:v>
                </c:pt>
                <c:pt idx="31">
                  <c:v>5843.8016949999992</c:v>
                </c:pt>
                <c:pt idx="32">
                  <c:v>5843.8016949999992</c:v>
                </c:pt>
                <c:pt idx="33">
                  <c:v>6243.8016949999992</c:v>
                </c:pt>
                <c:pt idx="34">
                  <c:v>6543.8016949999992</c:v>
                </c:pt>
                <c:pt idx="35">
                  <c:v>6543.8016949999992</c:v>
                </c:pt>
                <c:pt idx="36">
                  <c:v>6743.8016949999992</c:v>
                </c:pt>
                <c:pt idx="37">
                  <c:v>7243.8016949999992</c:v>
                </c:pt>
                <c:pt idx="38">
                  <c:v>7243.8016949999992</c:v>
                </c:pt>
                <c:pt idx="39">
                  <c:v>7343.8016949999992</c:v>
                </c:pt>
                <c:pt idx="40">
                  <c:v>7343.8016949999992</c:v>
                </c:pt>
                <c:pt idx="41">
                  <c:v>7343.8016949999992</c:v>
                </c:pt>
                <c:pt idx="42">
                  <c:v>7343.8016949999992</c:v>
                </c:pt>
                <c:pt idx="43">
                  <c:v>7343.8016949999992</c:v>
                </c:pt>
                <c:pt idx="44">
                  <c:v>7343.8016949999992</c:v>
                </c:pt>
                <c:pt idx="45">
                  <c:v>7343.8016949999992</c:v>
                </c:pt>
                <c:pt idx="46">
                  <c:v>7343.8016949999992</c:v>
                </c:pt>
                <c:pt idx="47">
                  <c:v>7343.8016949999992</c:v>
                </c:pt>
                <c:pt idx="48">
                  <c:v>7212.9690000000001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74-4960-B6C5-04D5F0928A94}"/>
            </c:ext>
          </c:extLst>
        </c:ser>
        <c:ser>
          <c:idx val="1"/>
          <c:order val="1"/>
          <c:tx>
            <c:strRef>
              <c:f>database!$K$6</c:f>
              <c:strCache>
                <c:ptCount val="1"/>
                <c:pt idx="0">
                  <c:v>interest</c:v>
                </c:pt>
              </c:strCache>
            </c:strRef>
          </c:tx>
          <c:spPr>
            <a:ln w="28575" cap="rnd">
              <a:solidFill>
                <a:srgbClr val="F2B5D4"/>
              </a:solidFill>
              <a:round/>
            </a:ln>
            <a:effectLst/>
          </c:spPr>
          <c:marker>
            <c:symbol val="none"/>
          </c:marker>
          <c:cat>
            <c:numRef>
              <c:f>database!$I$7:$I$55</c:f>
              <c:numCache>
                <c:formatCode>[$-1010409]mmm\ yy</c:formatCode>
                <c:ptCount val="49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  <c:pt idx="6">
                  <c:v>44927</c:v>
                </c:pt>
                <c:pt idx="7">
                  <c:v>44958</c:v>
                </c:pt>
                <c:pt idx="8">
                  <c:v>44986</c:v>
                </c:pt>
                <c:pt idx="9">
                  <c:v>45017</c:v>
                </c:pt>
                <c:pt idx="10">
                  <c:v>45047</c:v>
                </c:pt>
                <c:pt idx="11">
                  <c:v>45078</c:v>
                </c:pt>
                <c:pt idx="12">
                  <c:v>45108</c:v>
                </c:pt>
                <c:pt idx="13">
                  <c:v>45139</c:v>
                </c:pt>
                <c:pt idx="14">
                  <c:v>45170</c:v>
                </c:pt>
                <c:pt idx="15">
                  <c:v>45200</c:v>
                </c:pt>
                <c:pt idx="16">
                  <c:v>45231</c:v>
                </c:pt>
                <c:pt idx="17">
                  <c:v>45261</c:v>
                </c:pt>
                <c:pt idx="18">
                  <c:v>45292</c:v>
                </c:pt>
                <c:pt idx="19">
                  <c:v>45323</c:v>
                </c:pt>
                <c:pt idx="20">
                  <c:v>45352</c:v>
                </c:pt>
                <c:pt idx="21">
                  <c:v>45383</c:v>
                </c:pt>
                <c:pt idx="22">
                  <c:v>45413</c:v>
                </c:pt>
                <c:pt idx="23">
                  <c:v>45444</c:v>
                </c:pt>
                <c:pt idx="24">
                  <c:v>45474</c:v>
                </c:pt>
                <c:pt idx="25">
                  <c:v>45505</c:v>
                </c:pt>
                <c:pt idx="26">
                  <c:v>45536</c:v>
                </c:pt>
                <c:pt idx="27">
                  <c:v>45566</c:v>
                </c:pt>
                <c:pt idx="28">
                  <c:v>45597</c:v>
                </c:pt>
                <c:pt idx="29">
                  <c:v>45627</c:v>
                </c:pt>
                <c:pt idx="30">
                  <c:v>45658</c:v>
                </c:pt>
                <c:pt idx="31">
                  <c:v>45689</c:v>
                </c:pt>
                <c:pt idx="32">
                  <c:v>45717</c:v>
                </c:pt>
                <c:pt idx="33">
                  <c:v>45748</c:v>
                </c:pt>
                <c:pt idx="34">
                  <c:v>45778</c:v>
                </c:pt>
                <c:pt idx="35">
                  <c:v>45809</c:v>
                </c:pt>
                <c:pt idx="36">
                  <c:v>45839</c:v>
                </c:pt>
                <c:pt idx="37">
                  <c:v>45870</c:v>
                </c:pt>
                <c:pt idx="38">
                  <c:v>45901</c:v>
                </c:pt>
                <c:pt idx="39">
                  <c:v>45931</c:v>
                </c:pt>
                <c:pt idx="40">
                  <c:v>45962</c:v>
                </c:pt>
                <c:pt idx="41">
                  <c:v>45992</c:v>
                </c:pt>
                <c:pt idx="42">
                  <c:v>46023</c:v>
                </c:pt>
                <c:pt idx="43">
                  <c:v>46054</c:v>
                </c:pt>
                <c:pt idx="44">
                  <c:v>46082</c:v>
                </c:pt>
                <c:pt idx="45">
                  <c:v>46113</c:v>
                </c:pt>
                <c:pt idx="46">
                  <c:v>46143</c:v>
                </c:pt>
                <c:pt idx="47">
                  <c:v>46174</c:v>
                </c:pt>
                <c:pt idx="48">
                  <c:v>46204</c:v>
                </c:pt>
              </c:numCache>
            </c:numRef>
          </c:cat>
          <c:val>
            <c:numRef>
              <c:f>database!$K$7:$K$55</c:f>
              <c:numCache>
                <c:formatCode>_-* #,##0.000\ "₫"_-;\-* #,##0.000\ "₫"_-;_-* "-"???\ "₫"_-;_-@_-</c:formatCode>
                <c:ptCount val="49"/>
                <c:pt idx="0">
                  <c:v>20</c:v>
                </c:pt>
                <c:pt idx="1">
                  <c:v>63.705000000000013</c:v>
                </c:pt>
                <c:pt idx="2">
                  <c:v>43.569000000000003</c:v>
                </c:pt>
                <c:pt idx="3">
                  <c:v>-45.057999999999986</c:v>
                </c:pt>
                <c:pt idx="4">
                  <c:v>-235.43500000000003</c:v>
                </c:pt>
                <c:pt idx="5">
                  <c:v>-177.47799999999992</c:v>
                </c:pt>
                <c:pt idx="6">
                  <c:v>-573.99</c:v>
                </c:pt>
                <c:pt idx="7">
                  <c:v>-72.306999999999988</c:v>
                </c:pt>
                <c:pt idx="8">
                  <c:v>-54.383000000000024</c:v>
                </c:pt>
                <c:pt idx="9">
                  <c:v>-58.301000000000002</c:v>
                </c:pt>
                <c:pt idx="10">
                  <c:v>-57.031999999999968</c:v>
                </c:pt>
                <c:pt idx="11">
                  <c:v>35.18900000000005</c:v>
                </c:pt>
                <c:pt idx="12">
                  <c:v>145.81499999999988</c:v>
                </c:pt>
                <c:pt idx="13">
                  <c:v>145.50599999999986</c:v>
                </c:pt>
                <c:pt idx="14">
                  <c:v>208.41599999999994</c:v>
                </c:pt>
                <c:pt idx="15">
                  <c:v>120.04699999999991</c:v>
                </c:pt>
                <c:pt idx="16">
                  <c:v>120.04699999999991</c:v>
                </c:pt>
                <c:pt idx="17">
                  <c:v>126.72499999999991</c:v>
                </c:pt>
                <c:pt idx="18">
                  <c:v>179.16499999999996</c:v>
                </c:pt>
                <c:pt idx="19">
                  <c:v>181.0859999999999</c:v>
                </c:pt>
                <c:pt idx="20">
                  <c:v>231.80299999999988</c:v>
                </c:pt>
                <c:pt idx="21">
                  <c:v>357.5379999999999</c:v>
                </c:pt>
                <c:pt idx="22">
                  <c:v>452.03699999999981</c:v>
                </c:pt>
                <c:pt idx="23">
                  <c:v>452.03699999999981</c:v>
                </c:pt>
                <c:pt idx="24">
                  <c:v>754.59630499999957</c:v>
                </c:pt>
                <c:pt idx="25">
                  <c:v>695.93530499999997</c:v>
                </c:pt>
                <c:pt idx="26">
                  <c:v>695.93530499999997</c:v>
                </c:pt>
                <c:pt idx="27">
                  <c:v>742.38030499999991</c:v>
                </c:pt>
                <c:pt idx="28">
                  <c:v>658.22330499999998</c:v>
                </c:pt>
                <c:pt idx="29">
                  <c:v>736.83930499999997</c:v>
                </c:pt>
                <c:pt idx="30">
                  <c:v>781.04630499999996</c:v>
                </c:pt>
                <c:pt idx="31">
                  <c:v>873.22430499999996</c:v>
                </c:pt>
                <c:pt idx="32">
                  <c:v>789.73030499999993</c:v>
                </c:pt>
                <c:pt idx="33">
                  <c:v>856.924305</c:v>
                </c:pt>
                <c:pt idx="34">
                  <c:v>1011.957305</c:v>
                </c:pt>
                <c:pt idx="35">
                  <c:v>1321.0553049999999</c:v>
                </c:pt>
                <c:pt idx="36">
                  <c:v>1995.683305</c:v>
                </c:pt>
                <c:pt idx="37">
                  <c:v>1890.6253050000005</c:v>
                </c:pt>
                <c:pt idx="38">
                  <c:v>1810.530305</c:v>
                </c:pt>
                <c:pt idx="39">
                  <c:v>1658.0813049999997</c:v>
                </c:pt>
                <c:pt idx="40">
                  <c:v>1761.683305</c:v>
                </c:pt>
                <c:pt idx="41">
                  <c:v>2100.7993050000005</c:v>
                </c:pt>
                <c:pt idx="42">
                  <c:v>2336.3263049999996</c:v>
                </c:pt>
                <c:pt idx="43">
                  <c:v>1835.3923050000001</c:v>
                </c:pt>
                <c:pt idx="44">
                  <c:v>1868.7393050000001</c:v>
                </c:pt>
                <c:pt idx="45">
                  <c:v>1868.7393050000001</c:v>
                </c:pt>
                <c:pt idx="46">
                  <c:v>1868.7393050000001</c:v>
                </c:pt>
                <c:pt idx="47">
                  <c:v>1868.7393050000001</c:v>
                </c:pt>
                <c:pt idx="48">
                  <c:v>1229.4799999999998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74-4960-B6C5-04D5F0928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6453583"/>
        <c:axId val="806452623"/>
      </c:lineChart>
      <c:dateAx>
        <c:axId val="806453583"/>
        <c:scaling>
          <c:orientation val="minMax"/>
        </c:scaling>
        <c:delete val="0"/>
        <c:axPos val="b"/>
        <c:numFmt formatCode="[$-1010409]mmm\ 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06452623"/>
        <c:crosses val="autoZero"/>
        <c:auto val="1"/>
        <c:lblOffset val="100"/>
        <c:baseTimeUnit val="months"/>
        <c:majorUnit val="4"/>
        <c:majorTimeUnit val="months"/>
      </c:dateAx>
      <c:valAx>
        <c:axId val="806452623"/>
        <c:scaling>
          <c:orientation val="minMax"/>
        </c:scaling>
        <c:delete val="0"/>
        <c:axPos val="l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rgbClr val="F2B5D4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06453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 7.7.xlsm]database!fund_type_percent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type of fund</a:t>
            </a:r>
            <a:endParaRPr lang="en-US"/>
          </a:p>
        </c:rich>
      </c:tx>
      <c:layout>
        <c:manualLayout>
          <c:xMode val="edge"/>
          <c:yMode val="edge"/>
          <c:x val="0.63053518518518514"/>
          <c:y val="0.111712962962962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7D4E6"/>
          </a:solidFill>
          <a:ln>
            <a:noFill/>
          </a:ln>
          <a:effectLst/>
        </c:spPr>
      </c:pivotFmt>
      <c:pivotFmt>
        <c:idx val="4"/>
        <c:spPr>
          <a:solidFill>
            <a:srgbClr val="E87DB3"/>
          </a:solidFill>
          <a:ln>
            <a:noFill/>
          </a:ln>
          <a:effectLst/>
        </c:spPr>
      </c:pivotFmt>
      <c:pivotFmt>
        <c:idx val="5"/>
        <c:spPr>
          <a:solidFill>
            <a:srgbClr val="AD1F66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0711504629629631"/>
          <c:y val="0.19900462962962964"/>
          <c:w val="0.37759711286089237"/>
          <c:h val="0.62932852143482065"/>
        </c:manualLayout>
      </c:layout>
      <c:doughnutChart>
        <c:varyColors val="1"/>
        <c:ser>
          <c:idx val="0"/>
          <c:order val="0"/>
          <c:tx>
            <c:strRef>
              <c:f>database!$Q$28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7D4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EE-413E-9444-5402386E8636}"/>
              </c:ext>
            </c:extLst>
          </c:dPt>
          <c:dPt>
            <c:idx val="1"/>
            <c:bubble3D val="0"/>
            <c:spPr>
              <a:solidFill>
                <a:srgbClr val="E87DB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DEE-413E-9444-5402386E8636}"/>
              </c:ext>
            </c:extLst>
          </c:dPt>
          <c:dPt>
            <c:idx val="2"/>
            <c:bubble3D val="0"/>
            <c:spPr>
              <a:solidFill>
                <a:srgbClr val="AD1F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EE-413E-9444-5402386E8636}"/>
              </c:ext>
            </c:extLst>
          </c:dPt>
          <c:cat>
            <c:strRef>
              <c:f>database!$P$29:$P$32</c:f>
              <c:strCache>
                <c:ptCount val="3"/>
                <c:pt idx="0">
                  <c:v>balance</c:v>
                </c:pt>
                <c:pt idx="1">
                  <c:v>bond</c:v>
                </c:pt>
                <c:pt idx="2">
                  <c:v>stock</c:v>
                </c:pt>
              </c:strCache>
            </c:strRef>
          </c:cat>
          <c:val>
            <c:numRef>
              <c:f>database!$Q$29:$Q$32</c:f>
              <c:numCache>
                <c:formatCode>0.00%</c:formatCode>
                <c:ptCount val="3"/>
                <c:pt idx="0">
                  <c:v>0.11115210764080422</c:v>
                </c:pt>
                <c:pt idx="1">
                  <c:v>0.17919326489268692</c:v>
                </c:pt>
                <c:pt idx="2">
                  <c:v>0.70965462746650876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E-413E-9444-5402386E8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74143518518517"/>
          <c:y val="0.30200046296296296"/>
          <c:w val="0.1516888888888889"/>
          <c:h val="0.44438657407407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funds process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finance!$K$6</c:f>
              <c:strCache>
                <c:ptCount val="1"/>
                <c:pt idx="0">
                  <c:v>process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finance!$K$7:$K$10</c:f>
              <c:numCache>
                <c:formatCode>0.00%</c:formatCode>
                <c:ptCount val="4"/>
                <c:pt idx="0">
                  <c:v>0.66455066739214608</c:v>
                </c:pt>
                <c:pt idx="1">
                  <c:v>0.5707023655015806</c:v>
                </c:pt>
                <c:pt idx="2">
                  <c:v>0.59915664042261374</c:v>
                </c:pt>
                <c:pt idx="3">
                  <c:v>0.13132366000000001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2-470C-BCE5-230358CD0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2036415"/>
        <c:axId val="752034975"/>
      </c:barChart>
      <c:catAx>
        <c:axId val="7520364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4975"/>
        <c:crosses val="autoZero"/>
        <c:auto val="1"/>
        <c:lblAlgn val="ctr"/>
        <c:lblOffset val="100"/>
        <c:noMultiLvlLbl val="0"/>
      </c:catAx>
      <c:valAx>
        <c:axId val="752034975"/>
        <c:scaling>
          <c:orientation val="minMax"/>
          <c:max val="1"/>
        </c:scaling>
        <c:delete val="0"/>
        <c:axPos val="b"/>
        <c:numFmt formatCode="0%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64109260079677"/>
          <c:y val="0.9462816623517355"/>
          <c:w val="0.20717813314216976"/>
          <c:h val="4.5603881649061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defRPr>
            </a:pPr>
            <a:r>
              <a:rPr lang="en-US" sz="140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funds</a:t>
            </a:r>
            <a:r>
              <a:rPr lang="en-US" sz="1400" baseline="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 portfolio</a:t>
            </a:r>
            <a:endParaRPr lang="vi-VN" sz="1400"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endParaRPr>
          </a:p>
        </c:rich>
      </c:tx>
      <c:layout>
        <c:manualLayout>
          <c:xMode val="edge"/>
          <c:yMode val="edge"/>
          <c:x val="0.36607961391041993"/>
          <c:y val="3.6617374047756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defRPr>
          </a:pPr>
          <a:endParaRPr lang="vi-V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finance!$C$6</c:f>
              <c:strCache>
                <c:ptCount val="1"/>
                <c:pt idx="0">
                  <c:v>cash</c:v>
                </c:pt>
              </c:strCache>
            </c:strRef>
          </c:tx>
          <c:spPr>
            <a:solidFill>
              <a:srgbClr val="F2B5D4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finance!$C$7:$C$10</c:f>
              <c:numCache>
                <c:formatCode>#,##0.000\ "₫"</c:formatCode>
                <c:ptCount val="4"/>
                <c:pt idx="0">
                  <c:v>10458.157999999999</c:v>
                </c:pt>
                <c:pt idx="1">
                  <c:v>4326.66</c:v>
                </c:pt>
                <c:pt idx="2">
                  <c:v>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9-468E-AD54-ADF17D86BA89}"/>
            </c:ext>
          </c:extLst>
        </c:ser>
        <c:ser>
          <c:idx val="1"/>
          <c:order val="1"/>
          <c:tx>
            <c:strRef>
              <c:f>finance!$E$6</c:f>
              <c:strCache>
                <c:ptCount val="1"/>
                <c:pt idx="0">
                  <c:v>saving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finance!$E$7:$E$10</c:f>
              <c:numCache>
                <c:formatCode>#,##0.000\ "₫"</c:formatCode>
                <c:ptCount val="4"/>
                <c:pt idx="0">
                  <c:v>7552.0960217643833</c:v>
                </c:pt>
                <c:pt idx="1">
                  <c:v>3092.4707515205482</c:v>
                </c:pt>
                <c:pt idx="2">
                  <c:v>6590.7230446487511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9-468E-AD54-ADF17D86BA89}"/>
            </c:ext>
          </c:extLst>
        </c:ser>
        <c:ser>
          <c:idx val="2"/>
          <c:order val="2"/>
          <c:tx>
            <c:strRef>
              <c:f>finance!$G$6</c:f>
              <c:strCache>
                <c:ptCount val="1"/>
                <c:pt idx="0">
                  <c:v>fund cert</c:v>
                </c:pt>
              </c:strCache>
            </c:strRef>
          </c:tx>
          <c:spPr>
            <a:solidFill>
              <a:srgbClr val="82174D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finance!$G$7:$G$10</c:f>
              <c:numCache>
                <c:formatCode>#,##0.000\ "₫"</c:formatCode>
                <c:ptCount val="4"/>
                <c:pt idx="0">
                  <c:v>1926.2660000000001</c:v>
                </c:pt>
                <c:pt idx="1">
                  <c:v>0</c:v>
                </c:pt>
                <c:pt idx="2">
                  <c:v>0</c:v>
                </c:pt>
                <c:pt idx="3">
                  <c:v>6516.183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9-468E-AD54-ADF17D86B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7102816"/>
        <c:axId val="347113856"/>
      </c:barChart>
      <c:catAx>
        <c:axId val="347102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13856"/>
        <c:crosses val="autoZero"/>
        <c:auto val="1"/>
        <c:lblAlgn val="ctr"/>
        <c:lblOffset val="100"/>
        <c:noMultiLvlLbl val="0"/>
      </c:catAx>
      <c:valAx>
        <c:axId val="347113856"/>
        <c:scaling>
          <c:orientation val="minMax"/>
          <c:max val="30000"/>
        </c:scaling>
        <c:delete val="0"/>
        <c:axPos val="b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02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Montserrat Ligh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 sz="1100">
          <a:solidFill>
            <a:schemeClr val="bg1"/>
          </a:solidFill>
          <a:latin typeface="Montserrat Ligh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defRPr>
            </a:pPr>
            <a:r>
              <a:rPr lang="en-US" sz="140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funds</a:t>
            </a:r>
            <a:r>
              <a:rPr lang="en-US" sz="1400" baseline="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 %portfolio</a:t>
            </a:r>
            <a:endParaRPr lang="vi-VN" sz="1400"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endParaRPr>
          </a:p>
        </c:rich>
      </c:tx>
      <c:layout>
        <c:manualLayout>
          <c:xMode val="edge"/>
          <c:yMode val="edge"/>
          <c:x val="0.35524302960179394"/>
          <c:y val="3.6617374047756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defRPr>
          </a:pPr>
          <a:endParaRPr lang="vi-VN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finance!$D$6</c:f>
              <c:strCache>
                <c:ptCount val="1"/>
                <c:pt idx="0">
                  <c:v>%cash</c:v>
                </c:pt>
              </c:strCache>
            </c:strRef>
          </c:tx>
          <c:spPr>
            <a:solidFill>
              <a:srgbClr val="F0A8CC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finance!$D$7:$D$10</c:f>
              <c:numCache>
                <c:formatCode>0.00%</c:formatCode>
                <c:ptCount val="4"/>
                <c:pt idx="0">
                  <c:v>0.52457289379405203</c:v>
                </c:pt>
                <c:pt idx="1">
                  <c:v>0.5831761354405639</c:v>
                </c:pt>
                <c:pt idx="2">
                  <c:v>0</c:v>
                </c:pt>
                <c:pt idx="3">
                  <c:v>7.6147740628002602E-3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F-4FEB-8625-5AAB5ED4FAB4}"/>
            </c:ext>
          </c:extLst>
        </c:ser>
        <c:ser>
          <c:idx val="1"/>
          <c:order val="1"/>
          <c:tx>
            <c:strRef>
              <c:f>finance!$F$6</c:f>
              <c:strCache>
                <c:ptCount val="1"/>
                <c:pt idx="0">
                  <c:v>%saving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finance!$F$7:$F$10</c:f>
              <c:numCache>
                <c:formatCode>0.00%</c:formatCode>
                <c:ptCount val="4"/>
                <c:pt idx="0">
                  <c:v>0.37880713452096354</c:v>
                </c:pt>
                <c:pt idx="1">
                  <c:v>0.4168238645594361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F-4FEB-8625-5AAB5ED4FAB4}"/>
            </c:ext>
          </c:extLst>
        </c:ser>
        <c:ser>
          <c:idx val="2"/>
          <c:order val="2"/>
          <c:tx>
            <c:strRef>
              <c:f>finance!$H$6</c:f>
              <c:strCache>
                <c:ptCount val="1"/>
                <c:pt idx="0">
                  <c:v>%fund cert</c:v>
                </c:pt>
              </c:strCache>
            </c:strRef>
          </c:tx>
          <c:spPr>
            <a:solidFill>
              <a:srgbClr val="82174D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finance!$H$7:$H$10</c:f>
              <c:numCache>
                <c:formatCode>0.00%</c:formatCode>
                <c:ptCount val="4"/>
                <c:pt idx="0">
                  <c:v>9.6619971684984443E-2</c:v>
                </c:pt>
                <c:pt idx="1">
                  <c:v>0</c:v>
                </c:pt>
                <c:pt idx="2">
                  <c:v>0</c:v>
                </c:pt>
                <c:pt idx="3">
                  <c:v>0.99238522593719969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3F-4FEB-8625-5AAB5ED4F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7102816"/>
        <c:axId val="347113856"/>
      </c:barChart>
      <c:catAx>
        <c:axId val="347102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13856"/>
        <c:crosses val="autoZero"/>
        <c:auto val="1"/>
        <c:lblAlgn val="ctr"/>
        <c:lblOffset val="100"/>
        <c:noMultiLvlLbl val="0"/>
      </c:catAx>
      <c:valAx>
        <c:axId val="347113856"/>
        <c:scaling>
          <c:orientation val="minMax"/>
          <c:max val="1"/>
        </c:scaling>
        <c:delete val="0"/>
        <c:axPos val="b"/>
        <c:numFmt formatCode="0%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02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Montserrat Ligh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 sz="1100">
          <a:solidFill>
            <a:schemeClr val="bg1"/>
          </a:solidFill>
          <a:latin typeface="Montserrat Ligh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 7.7.xlsm]database!fund_name_percent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fund</a:t>
            </a:r>
          </a:p>
        </c:rich>
      </c:tx>
      <c:layout>
        <c:manualLayout>
          <c:xMode val="edge"/>
          <c:yMode val="edge"/>
          <c:x val="0.62772013888888889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7D4E6"/>
          </a:solidFill>
          <a:ln w="19050">
            <a:noFill/>
          </a:ln>
          <a:effectLst/>
        </c:spPr>
      </c:pivotFmt>
      <c:pivotFmt>
        <c:idx val="2"/>
        <c:spPr>
          <a:solidFill>
            <a:srgbClr val="F0A8CC"/>
          </a:solidFill>
          <a:ln w="19050">
            <a:noFill/>
          </a:ln>
          <a:effectLst/>
        </c:spPr>
      </c:pivotFmt>
      <c:pivotFmt>
        <c:idx val="3"/>
        <c:spPr>
          <a:solidFill>
            <a:srgbClr val="E87DB3"/>
          </a:solidFill>
          <a:ln w="19050">
            <a:noFill/>
          </a:ln>
          <a:effectLst/>
        </c:spPr>
      </c:pivotFmt>
      <c:pivotFmt>
        <c:idx val="4"/>
        <c:spPr>
          <a:solidFill>
            <a:srgbClr val="E05299"/>
          </a:solidFill>
          <a:ln w="19050">
            <a:noFill/>
          </a:ln>
          <a:effectLst/>
        </c:spPr>
      </c:pivotFmt>
      <c:pivotFmt>
        <c:idx val="5"/>
        <c:spPr>
          <a:solidFill>
            <a:srgbClr val="D92680"/>
          </a:solidFill>
          <a:ln w="19050">
            <a:noFill/>
          </a:ln>
          <a:effectLst/>
        </c:spPr>
      </c:pivotFmt>
      <c:pivotFmt>
        <c:idx val="6"/>
        <c:spPr>
          <a:solidFill>
            <a:srgbClr val="AD1F66"/>
          </a:solidFill>
          <a:ln w="19050">
            <a:noFill/>
          </a:ln>
          <a:effectLst/>
        </c:spPr>
      </c:pivotFmt>
      <c:pivotFmt>
        <c:idx val="7"/>
        <c:spPr>
          <a:solidFill>
            <a:srgbClr val="82174D"/>
          </a:solidFill>
          <a:ln w="19050">
            <a:noFill/>
          </a:ln>
          <a:effectLst/>
        </c:spPr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D4E6"/>
          </a:solidFill>
          <a:ln w="19050">
            <a:noFill/>
          </a:ln>
          <a:effectLst/>
        </c:spPr>
      </c:pivotFmt>
      <c:pivotFmt>
        <c:idx val="10"/>
        <c:spPr>
          <a:solidFill>
            <a:srgbClr val="F0A8CC"/>
          </a:solidFill>
          <a:ln w="19050">
            <a:noFill/>
          </a:ln>
          <a:effectLst/>
        </c:spPr>
      </c:pivotFmt>
      <c:pivotFmt>
        <c:idx val="11"/>
        <c:spPr>
          <a:solidFill>
            <a:srgbClr val="E87DB3"/>
          </a:solidFill>
          <a:ln w="19050">
            <a:noFill/>
          </a:ln>
          <a:effectLst/>
        </c:spPr>
      </c:pivotFmt>
      <c:pivotFmt>
        <c:idx val="12"/>
        <c:spPr>
          <a:solidFill>
            <a:srgbClr val="E05299"/>
          </a:solidFill>
          <a:ln w="19050">
            <a:noFill/>
          </a:ln>
          <a:effectLst/>
        </c:spPr>
      </c:pivotFmt>
      <c:pivotFmt>
        <c:idx val="13"/>
        <c:spPr>
          <a:solidFill>
            <a:srgbClr val="D92680"/>
          </a:solidFill>
          <a:ln w="19050">
            <a:noFill/>
          </a:ln>
          <a:effectLst/>
        </c:spPr>
      </c:pivotFmt>
      <c:pivotFmt>
        <c:idx val="14"/>
        <c:spPr>
          <a:solidFill>
            <a:srgbClr val="AD1F66"/>
          </a:solidFill>
          <a:ln w="19050">
            <a:noFill/>
          </a:ln>
          <a:effectLst/>
        </c:spPr>
      </c:pivotFmt>
      <c:pivotFmt>
        <c:idx val="15"/>
        <c:spPr>
          <a:solidFill>
            <a:srgbClr val="82174D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7D4E6"/>
          </a:solidFill>
          <a:ln w="19050">
            <a:noFill/>
          </a:ln>
          <a:effectLst/>
        </c:spPr>
      </c:pivotFmt>
      <c:pivotFmt>
        <c:idx val="18"/>
        <c:spPr>
          <a:solidFill>
            <a:srgbClr val="F0A8CC"/>
          </a:solidFill>
          <a:ln w="19050">
            <a:noFill/>
          </a:ln>
          <a:effectLst/>
        </c:spPr>
      </c:pivotFmt>
      <c:pivotFmt>
        <c:idx val="19"/>
        <c:spPr>
          <a:solidFill>
            <a:srgbClr val="E87DB3"/>
          </a:solidFill>
          <a:ln w="19050">
            <a:noFill/>
          </a:ln>
          <a:effectLst/>
        </c:spPr>
      </c:pivotFmt>
      <c:pivotFmt>
        <c:idx val="20"/>
        <c:spPr>
          <a:solidFill>
            <a:srgbClr val="E05299"/>
          </a:solidFill>
          <a:ln w="19050">
            <a:noFill/>
          </a:ln>
          <a:effectLst/>
        </c:spPr>
      </c:pivotFmt>
      <c:pivotFmt>
        <c:idx val="21"/>
        <c:spPr>
          <a:solidFill>
            <a:srgbClr val="D92680"/>
          </a:solidFill>
          <a:ln w="19050">
            <a:noFill/>
          </a:ln>
          <a:effectLst/>
        </c:spPr>
      </c:pivotFmt>
      <c:pivotFmt>
        <c:idx val="22"/>
        <c:spPr>
          <a:solidFill>
            <a:srgbClr val="AD1F66"/>
          </a:solidFill>
          <a:ln w="19050">
            <a:noFill/>
          </a:ln>
          <a:effectLst/>
        </c:spPr>
      </c:pivotFmt>
      <c:pivotFmt>
        <c:idx val="23"/>
        <c:spPr>
          <a:solidFill>
            <a:srgbClr val="82174D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1656944444444458E-2"/>
          <c:y val="0.18853055555555556"/>
          <c:w val="0.35869768518518519"/>
          <c:h val="0.71739537037037038"/>
        </c:manualLayout>
      </c:layout>
      <c:doughnutChart>
        <c:varyColors val="1"/>
        <c:ser>
          <c:idx val="0"/>
          <c:order val="0"/>
          <c:tx>
            <c:strRef>
              <c:f>database!$N$28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7D4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0A-438C-8512-4BB3F866A25A}"/>
              </c:ext>
            </c:extLst>
          </c:dPt>
          <c:dPt>
            <c:idx val="1"/>
            <c:bubble3D val="0"/>
            <c:spPr>
              <a:solidFill>
                <a:srgbClr val="F0A8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0A-438C-8512-4BB3F866A25A}"/>
              </c:ext>
            </c:extLst>
          </c:dPt>
          <c:dPt>
            <c:idx val="2"/>
            <c:bubble3D val="0"/>
            <c:spPr>
              <a:solidFill>
                <a:srgbClr val="E87DB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0A-438C-8512-4BB3F866A25A}"/>
              </c:ext>
            </c:extLst>
          </c:dPt>
          <c:dPt>
            <c:idx val="3"/>
            <c:bubble3D val="0"/>
            <c:spPr>
              <a:solidFill>
                <a:srgbClr val="E052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0A-438C-8512-4BB3F866A25A}"/>
              </c:ext>
            </c:extLst>
          </c:dPt>
          <c:dPt>
            <c:idx val="4"/>
            <c:bubble3D val="0"/>
            <c:spPr>
              <a:solidFill>
                <a:srgbClr val="D9268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0A-438C-8512-4BB3F866A25A}"/>
              </c:ext>
            </c:extLst>
          </c:dPt>
          <c:dPt>
            <c:idx val="5"/>
            <c:bubble3D val="0"/>
            <c:spPr>
              <a:solidFill>
                <a:srgbClr val="AD1F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0A-438C-8512-4BB3F866A25A}"/>
              </c:ext>
            </c:extLst>
          </c:dPt>
          <c:dPt>
            <c:idx val="6"/>
            <c:bubble3D val="0"/>
            <c:spPr>
              <a:solidFill>
                <a:srgbClr val="82174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0A-438C-8512-4BB3F866A25A}"/>
              </c:ext>
            </c:extLst>
          </c:dPt>
          <c:cat>
            <c:strRef>
              <c:f>database!$M$29:$M$36</c:f>
              <c:strCache>
                <c:ptCount val="7"/>
                <c:pt idx="0">
                  <c:v>DCDS</c:v>
                </c:pt>
                <c:pt idx="1">
                  <c:v>SSISCA</c:v>
                </c:pt>
                <c:pt idx="2">
                  <c:v>VCBF-FIF</c:v>
                </c:pt>
                <c:pt idx="3">
                  <c:v>VCBF-MGF</c:v>
                </c:pt>
                <c:pt idx="4">
                  <c:v>VESAF</c:v>
                </c:pt>
                <c:pt idx="5">
                  <c:v>VFF</c:v>
                </c:pt>
                <c:pt idx="6">
                  <c:v>VIBF</c:v>
                </c:pt>
              </c:strCache>
            </c:strRef>
          </c:cat>
          <c:val>
            <c:numRef>
              <c:f>database!$N$29:$N$36</c:f>
              <c:numCache>
                <c:formatCode>0.00%</c:formatCode>
                <c:ptCount val="7"/>
                <c:pt idx="0">
                  <c:v>0.17784377495203108</c:v>
                </c:pt>
                <c:pt idx="1">
                  <c:v>0.13863453602147907</c:v>
                </c:pt>
                <c:pt idx="2">
                  <c:v>0.17919326489268692</c:v>
                </c:pt>
                <c:pt idx="3">
                  <c:v>8.8059519222443622E-2</c:v>
                </c:pt>
                <c:pt idx="4">
                  <c:v>0.16976839303382227</c:v>
                </c:pt>
                <c:pt idx="5">
                  <c:v>0.13534840423673272</c:v>
                </c:pt>
                <c:pt idx="6">
                  <c:v>0.11115210764080422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0A-438C-8512-4BB3F866A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172268518518517"/>
          <c:y val="0.39297083333333327"/>
          <c:w val="0.40911064814814813"/>
          <c:h val="0.35824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108857</xdr:colOff>
      <xdr:row>5</xdr:row>
      <xdr:rowOff>162355</xdr:rowOff>
    </xdr:from>
    <xdr:to>
      <xdr:col>9</xdr:col>
      <xdr:colOff>1834241</xdr:colOff>
      <xdr:row>12</xdr:row>
      <xdr:rowOff>244928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4656-BBC7-4D4C-A8D8-D46B569D38D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4762</xdr:colOff>
      <xdr:row>17</xdr:row>
      <xdr:rowOff>76200</xdr:rowOff>
    </xdr:from>
    <xdr:to>
      <xdr:col>9</xdr:col>
      <xdr:colOff>1631645</xdr:colOff>
      <xdr:row>23</xdr:row>
      <xdr:rowOff>58336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E404F-02CA-802F-D251-C077B4A9B0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150046</xdr:colOff>
      <xdr:row>27</xdr:row>
      <xdr:rowOff>128763</xdr:rowOff>
    </xdr:from>
    <xdr:to>
      <xdr:col>13</xdr:col>
      <xdr:colOff>356605</xdr:colOff>
      <xdr:row>42</xdr:row>
      <xdr:rowOff>39686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6E07DA9-3090-C19F-68CF-A4BF61871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78501</xdr:colOff>
      <xdr:row>16</xdr:row>
      <xdr:rowOff>76058</xdr:rowOff>
    </xdr:from>
    <xdr:to>
      <xdr:col>2</xdr:col>
      <xdr:colOff>1232751</xdr:colOff>
      <xdr:row>22</xdr:row>
      <xdr:rowOff>167413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97E1FD7-EACB-4149-A992-62E3212078A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166401</xdr:colOff>
      <xdr:row>5</xdr:row>
      <xdr:rowOff>147803</xdr:rowOff>
    </xdr:from>
    <xdr:to>
      <xdr:col>7</xdr:col>
      <xdr:colOff>97545</xdr:colOff>
      <xdr:row>15</xdr:row>
      <xdr:rowOff>38101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C42AEF6-0BB5-4EED-A379-1DF311182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255985</xdr:colOff>
      <xdr:row>64</xdr:row>
      <xdr:rowOff>106761</xdr:rowOff>
    </xdr:from>
    <xdr:to>
      <xdr:col>8</xdr:col>
      <xdr:colOff>333191</xdr:colOff>
      <xdr:row>77</xdr:row>
      <xdr:rowOff>73232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26B001-38E8-4138-88C6-8BE8585FB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255985</xdr:colOff>
      <xdr:row>77</xdr:row>
      <xdr:rowOff>98701</xdr:rowOff>
    </xdr:from>
    <xdr:to>
      <xdr:col>8</xdr:col>
      <xdr:colOff>333191</xdr:colOff>
      <xdr:row>92</xdr:row>
      <xdr:rowOff>65171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50B180-1CA8-41A7-855D-2994787A9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9</xdr:col>
      <xdr:colOff>574647</xdr:colOff>
      <xdr:row>64</xdr:row>
      <xdr:rowOff>106761</xdr:rowOff>
    </xdr:from>
    <xdr:to>
      <xdr:col>15</xdr:col>
      <xdr:colOff>1057161</xdr:colOff>
      <xdr:row>77</xdr:row>
      <xdr:rowOff>73232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B1F5C2B-5ACC-41EC-A287-6B908886FF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9</xdr:col>
      <xdr:colOff>574647</xdr:colOff>
      <xdr:row>77</xdr:row>
      <xdr:rowOff>98701</xdr:rowOff>
    </xdr:from>
    <xdr:to>
      <xdr:col>15</xdr:col>
      <xdr:colOff>1057161</xdr:colOff>
      <xdr:row>92</xdr:row>
      <xdr:rowOff>65171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97B7E7E-AE14-4FA1-913C-752F8FE11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198438</xdr:colOff>
      <xdr:row>43</xdr:row>
      <xdr:rowOff>0</xdr:rowOff>
    </xdr:from>
    <xdr:to>
      <xdr:col>20</xdr:col>
      <xdr:colOff>66418</xdr:colOff>
      <xdr:row>62</xdr:row>
      <xdr:rowOff>59532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0E03344-DAAA-4A2E-914F-4DA3A671B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317500</xdr:colOff>
      <xdr:row>95</xdr:row>
      <xdr:rowOff>160421</xdr:rowOff>
    </xdr:from>
    <xdr:to>
      <xdr:col>11</xdr:col>
      <xdr:colOff>876289</xdr:colOff>
      <xdr:row>114</xdr:row>
      <xdr:rowOff>98921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7ED4F11-6BB6-4110-ADA0-9A5005EF26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421104</xdr:colOff>
      <xdr:row>3</xdr:row>
      <xdr:rowOff>217571</xdr:rowOff>
    </xdr:from>
    <xdr:to>
      <xdr:col>20</xdr:col>
      <xdr:colOff>290763</xdr:colOff>
      <xdr:row>23</xdr:row>
      <xdr:rowOff>217714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23CCA3E-65FC-8343-F63D-CA8939B7F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12</xdr:col>
      <xdr:colOff>432317</xdr:colOff>
      <xdr:row>95</xdr:row>
      <xdr:rowOff>160421</xdr:rowOff>
    </xdr:from>
    <xdr:to>
      <xdr:col>20</xdr:col>
      <xdr:colOff>340152</xdr:colOff>
      <xdr:row>114</xdr:row>
      <xdr:rowOff>98921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52B868A-4F4C-4D54-ADDC-5F291CCE7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74</xdr:row>
      <xdr:rowOff>83820</xdr:rowOff>
    </xdr:from>
    <xdr:to>
      <xdr:col>13</xdr:col>
      <xdr:colOff>639540</xdr:colOff>
      <xdr:row>83</xdr:row>
      <xdr:rowOff>199755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F585E3-4AB4-44F7-BB63-3ED6908E2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41</xdr:row>
      <xdr:rowOff>53340</xdr:rowOff>
    </xdr:from>
    <xdr:to>
      <xdr:col>13</xdr:col>
      <xdr:colOff>639540</xdr:colOff>
      <xdr:row>55</xdr:row>
      <xdr:rowOff>136800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B7A25F-E93E-4007-8C11-CCBABC8DF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361140</xdr:colOff>
      <xdr:row>38</xdr:row>
      <xdr:rowOff>171000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6213521-FBB9-43B4-8CFB-0FDC7F808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7</xdr:col>
      <xdr:colOff>103140</xdr:colOff>
      <xdr:row>20</xdr:row>
      <xdr:rowOff>0</xdr:rowOff>
    </xdr:from>
    <xdr:to>
      <xdr:col>13</xdr:col>
      <xdr:colOff>639540</xdr:colOff>
      <xdr:row>38</xdr:row>
      <xdr:rowOff>171000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B30040B-D68B-476A-BBE2-354CED0BE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9</xdr:col>
      <xdr:colOff>190500</xdr:colOff>
      <xdr:row>60</xdr:row>
      <xdr:rowOff>70440</xdr:rowOff>
    </xdr:from>
    <xdr:to>
      <xdr:col>13</xdr:col>
      <xdr:colOff>639540</xdr:colOff>
      <xdr:row>69</xdr:row>
      <xdr:rowOff>173040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5B12A-CD81-4D23-B471-67DC59396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29050924" createdVersion="8" refreshedVersion="8" minRefreshableVersion="3" recordCount="0" supportSubquery="1" supportAdvancedDrill="1" xr:uid="{A5AAB085-E580-4E20-A914-BC2357CA0341}">
  <cacheSource type="external" connectionId="4"/>
  <cacheFields count="3">
    <cacheField name="[debt].[person].[person]" caption="person" numFmtId="0" hierarchy="2" level="1">
      <sharedItems count="1">
        <s v="Nguyễn Văn Tiến Huy"/>
      </sharedItems>
    </cacheField>
    <cacheField name="[debt].[batch].[batch]" caption="batch" numFmtId="0" hierarchy="1" level="1">
      <sharedItems count="4">
        <s v="LEND_C_001"/>
        <s v="LEND_A_001"/>
        <s v="BORROW_D_001"/>
        <s v="BORROW_B_001"/>
      </sharedItems>
    </cacheField>
    <cacheField name="[Measures].[Sum of amount 2]" caption="Sum of amount 2" numFmtId="0" hierarchy="37" level="32767"/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2" memberValueDatatype="130" unbalanced="0">
      <fieldsUsage count="2">
        <fieldUsage x="-1"/>
        <fieldUsage x="1"/>
      </fieldsUsage>
    </cacheHierarchy>
    <cacheHierarchy uniqueName="[debt].[person]" caption="person" attribute="1" defaultMemberUniqueName="[debt].[person].[All]" allUniqueName="[debt].[person].[All]" dimensionUniqueName="[debt]" displayFolder="" count="2" memberValueDatatype="130" unbalanced="0">
      <fieldsUsage count="2">
        <fieldUsage x="-1"/>
        <fieldUsage x="0"/>
      </fieldsUsage>
    </cacheHierarchy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0" memberValueDatatype="130" unbalanced="0"/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0" memberValueDatatype="11" unbalanced="0"/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67939812" createdVersion="8" refreshedVersion="8" minRefreshableVersion="3" recordCount="0" supportSubquery="1" supportAdvancedDrill="1" xr:uid="{058B39B4-2ED7-452F-A863-6DEC5CA7A2FE}">
  <cacheSource type="external" connectionId="4"/>
  <cacheFields count="4">
    <cacheField name="[transactions].[category].[category]" caption="category" numFmtId="0" hierarchy="22" level="1">
      <sharedItems count="4">
        <s v="base salary &amp; allowances"/>
        <s v="dividends &amp; profits"/>
        <s v="family allowance"/>
        <s v="reimbursement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Measures].[Sum of flow]" caption="Sum of flow" numFmtId="0" hierarchy="33" level="32767"/>
    <cacheField name="[transactions].[type].[type]" caption="type" numFmtId="0" hierarchy="20" level="1">
      <sharedItems containsSemiMixedTypes="0" containsNonDate="0" containsString="0"/>
    </cacheField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3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68749997" createdVersion="5" refreshedVersion="8" minRefreshableVersion="3" recordCount="0" supportSubquery="1" supportAdvancedDrill="1" xr:uid="{C205E182-C9BB-426D-A48E-C0DD13AE6FE9}">
  <cacheSource type="external" connectionId="4"/>
  <cacheFields count="6">
    <cacheField name="[transactions].[group].[group]" caption="group" numFmtId="0" hierarchy="21" level="1">
      <sharedItems count="2">
        <s v="essentials"/>
        <s v="personal &amp; leisure"/>
      </sharedItems>
    </cacheField>
    <cacheField name="[transactions].[category].[category]" caption="category" numFmtId="0" hierarchy="22" level="1">
      <sharedItems count="8">
        <s v="basic transit"/>
        <s v="food &amp; groceries"/>
        <s v="healthcare"/>
        <s v="housing"/>
        <s v="utilities"/>
        <s v="dining out"/>
        <s v="personal shopping"/>
        <s v="travel &amp; vacation"/>
      </sharedItems>
    </cacheField>
    <cacheField name="[transactions].[type].[type]" caption="type" numFmtId="0" hierarchy="20" level="1">
      <sharedItems containsSemiMixedTypes="0" containsNonDate="0" containsString="0"/>
    </cacheField>
    <cacheField name="[transactions].[this month].[this month]" caption="this month" numFmtId="0" hierarchy="23" level="1">
      <sharedItems containsSemiMixedTypes="0" containsNonDate="0" containsString="0"/>
    </cacheField>
    <cacheField name="[Measures].[Sum of amount]" caption="Sum of amount" numFmtId="0" hierarchy="32" level="32767"/>
    <cacheField name="Unsupported0" numFmtId="0" hierarchy="38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9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1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3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Unsupported0" caption="dat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69560182" createdVersion="8" refreshedVersion="8" minRefreshableVersion="3" recordCount="0" supportSubquery="1" supportAdvancedDrill="1" xr:uid="{E7141D31-3EA8-471B-BA10-1C77C53B322F}">
  <cacheSource type="external" connectionId="4"/>
  <cacheFields count="4">
    <cacheField name="[transactions].[group].[group]" caption="group" numFmtId="0" hierarchy="21" level="1">
      <sharedItems count="3">
        <s v="assets"/>
        <s v="employment"/>
        <s v="other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transactions].[type].[type]" caption="type" numFmtId="0" hierarchy="20" level="1">
      <sharedItems containsSemiMixedTypes="0" containsNonDate="0" containsString="0"/>
    </cacheField>
    <cacheField name="[Measures].[Sum of flow]" caption="Sum of flow" numFmtId="0" hierarchy="33" level="32767"/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70254629" createdVersion="8" refreshedVersion="8" minRefreshableVersion="3" recordCount="0" supportSubquery="1" supportAdvancedDrill="1" xr:uid="{BCF4A0A9-7EB9-4445-BAF6-8C7926CB7609}">
  <cacheSource type="external" connectionId="4"/>
  <cacheFields count="4">
    <cacheField name="[transactions].[group].[group]" caption="group" numFmtId="0" hierarchy="21" level="1">
      <sharedItems count="2">
        <s v="essentials"/>
        <s v="personal &amp; leisure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transactions].[type].[type]" caption="type" numFmtId="0" hierarchy="20" level="1">
      <sharedItems containsSemiMixedTypes="0" containsNonDate="0" containsString="0"/>
    </cacheField>
    <cacheField name="[Measures].[Sum of flow]" caption="Sum of flow" numFmtId="0" hierarchy="33" level="32767"/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70949075" createdVersion="8" refreshedVersion="8" minRefreshableVersion="3" recordCount="0" supportSubquery="1" supportAdvancedDrill="1" xr:uid="{EE718065-E24C-41C3-BA2C-405FF18751AD}">
  <cacheSource type="external" connectionId="4"/>
  <cacheFields count="4">
    <cacheField name="[transactions].[category].[category]" caption="category" numFmtId="0" hierarchy="22" level="1">
      <sharedItems count="5">
        <s v="basic transit"/>
        <s v="dining out"/>
        <s v="food &amp; groceries"/>
        <s v="housing"/>
        <s v="travel &amp; vacation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Measures].[Sum of flow]" caption="Sum of flow" numFmtId="0" hierarchy="33" level="32767"/>
    <cacheField name="[transactions].[type].[type]" caption="type" numFmtId="0" hierarchy="20" level="1">
      <sharedItems containsSemiMixedTypes="0" containsNonDate="0" containsString="0"/>
    </cacheField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3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7175926" createdVersion="5" refreshedVersion="8" minRefreshableVersion="3" recordCount="0" supportSubquery="1" supportAdvancedDrill="1" xr:uid="{BA551445-A2AC-42FE-BC6C-670BFCA8D231}">
  <cacheSource type="external" connectionId="4"/>
  <cacheFields count="6">
    <cacheField name="[transactions].[group].[group]" caption="group" numFmtId="0" hierarchy="21" level="1">
      <sharedItems count="3">
        <s v="assets"/>
        <s v="employment"/>
        <s v="other"/>
      </sharedItems>
    </cacheField>
    <cacheField name="[transactions].[category].[category]" caption="category" numFmtId="0" hierarchy="22" level="1">
      <sharedItems count="4">
        <s v="dividends &amp; profits"/>
        <s v="base salary &amp; allowances"/>
        <s v="family allowance"/>
        <s v="reimbursement"/>
      </sharedItems>
    </cacheField>
    <cacheField name="[transactions].[type].[type]" caption="type" numFmtId="0" hierarchy="20" level="1">
      <sharedItems containsSemiMixedTypes="0" containsNonDate="0" containsString="0"/>
    </cacheField>
    <cacheField name="[transactions].[this month].[this month]" caption="this month" numFmtId="0" hierarchy="23" level="1">
      <sharedItems containsSemiMixedTypes="0" containsNonDate="0" containsString="0"/>
    </cacheField>
    <cacheField name="[Measures].[Sum of amount]" caption="Sum of amount" numFmtId="0" hierarchy="32" level="32767"/>
    <cacheField name="Unsupported0" numFmtId="0" hierarchy="38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9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1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3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Unsupported0" caption="dat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72685184" backgroundQuery="1" createdVersion="8" refreshedVersion="8" minRefreshableVersion="3" recordCount="0" supportSubquery="1" supportAdvancedDrill="1" xr:uid="{5862B1D9-99D3-4E89-A8ED-7245B65DEAC3}">
  <cacheSource type="external" connectionId="4"/>
  <cacheFields count="2">
    <cacheField name="[fund_certs].[name].[name]" caption="name" numFmtId="0" hierarchy="10" level="1">
      <sharedItems count="7">
        <s v="DCDS"/>
        <s v="SSISCA"/>
        <s v="VCBF-FIF"/>
        <s v="VCBF-MGF"/>
        <s v="VESAF"/>
        <s v="VFF"/>
        <s v="VIBF"/>
      </sharedItems>
    </cacheField>
    <cacheField name="[Measures].[Sum of balance]" caption="Sum of balance" numFmtId="0" hierarchy="34" level="32767"/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2" memberValueDatatype="130" unbalanced="0">
      <fieldsUsage count="2">
        <fieldUsage x="-1"/>
        <fieldUsage x="0"/>
      </fieldsUsage>
    </cacheHierarchy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0" memberValueDatatype="130" unbalanced="0"/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0" memberValueDatatype="11" unbalanced="0"/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54.613373379631" createdVersion="8" refreshedVersion="8" minRefreshableVersion="3" recordCount="0" supportSubquery="1" supportAdvancedDrill="1" xr:uid="{38476C9A-D92A-4EA9-AE6E-CF4E3BB1E088}">
  <cacheSource type="external" connectionId="4"/>
  <cacheFields count="2">
    <cacheField name="[fund_certs].[type].[type]" caption="type" numFmtId="0" hierarchy="11" level="1">
      <sharedItems count="3">
        <s v="balance"/>
        <s v="bond"/>
        <s v="stock"/>
      </sharedItems>
    </cacheField>
    <cacheField name="[Measures].[Sum of balance]" caption="Sum of balance" numFmtId="0" hierarchy="34" level="32767"/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2" memberValueDatatype="130" unbalanced="0">
      <fieldsUsage count="2">
        <fieldUsage x="-1"/>
        <fieldUsage x="0"/>
      </fieldsUsage>
    </cacheHierarchy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0" memberValueDatatype="130" unbalanced="0"/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0" memberValueDatatype="11" unbalanced="0"/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01BF2-BEF9-4FE9-AD4C-8113DE7D63C8}" name="month_exp" cacheId="344" applyNumberFormats="0" applyBorderFormats="0" applyFontFormats="0" applyPatternFormats="0" applyAlignmentFormats="0" applyWidthHeightFormats="1" dataCaption="Values" tag="07cffa56-6d96-408e-bc3f-9575601949c5" updatedVersion="8" minRefreshableVersion="3" subtotalHiddenItems="1" itemPrintTitles="1" createdVersion="5" indent="0" outline="1" outlineData="1" multipleFieldFilters="0" chartFormat="6">
  <location ref="R82:T93" firstHeaderRow="0" firstDataRow="1" firstDataCol="1" rowPageCount="2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>
      <items count="8">
        <item x="0" e="0"/>
        <item x="1" e="0"/>
        <item x="2" e="0"/>
        <item x="3" e="0"/>
        <item x="4" e="0"/>
        <item x="5" e="0"/>
        <item x="6" e="0"/>
        <item x="7" e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0"/>
    <field x="1"/>
  </rowFields>
  <rowItems count="1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5"/>
    </i>
    <i r="1">
      <x v="6"/>
    </i>
    <i r="1">
      <x v="7"/>
    </i>
    <i t="grand">
      <x/>
    </i>
  </rowItems>
  <colFields count="1">
    <field x="-2"/>
  </colFields>
  <colItems count="2">
    <i>
      <x/>
    </i>
    <i i="1">
      <x v="1"/>
    </i>
  </colItems>
  <pageFields count="2">
    <pageField fld="2" hier="20" name="[transactions].[type].&amp;[expense]" cap="expense"/>
    <pageField fld="3" hier="23" name="[transactions].[this month].&amp;[True]" cap="TRUE"/>
  </pageFields>
  <dataFields count="2">
    <dataField name="amount" fld="4" baseField="0" baseItem="0" numFmtId="168"/>
    <dataField name="rate" fld="5" showDataAs="percentOfTotal" baseField="0" baseItem="0" numFmtId="10">
      <extLst>
        <ext xmlns:x14="http://schemas.microsoft.com/office/spreadsheetml/2009/9/main" uri="{E15A36E0-9728-4e99-A89B-3F7291B0FE68}">
          <x14:dataField sourceField="4" uniqueName="[__Xl2].[Measures].[Sum of amount]"/>
        </ext>
      </extLst>
    </dataField>
  </dataField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amount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expense" showRowHeaders="1" showColHeaders="1" showRowStripes="0" showColStripes="0" showLastColumn="1"/>
  <rowHierarchiesUsage count="2">
    <rowHierarchyUsage hierarchyUsage="21"/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9ABDA7-5CEA-4235-A9C7-1670A37008B9}" name="month_in" cacheId="356" applyNumberFormats="0" applyBorderFormats="0" applyFontFormats="0" applyPatternFormats="0" applyAlignmentFormats="0" applyWidthHeightFormats="1" dataCaption="Values" tag="8ddabd28-a795-4755-b5ba-654cb8929447" updatedVersion="8" minRefreshableVersion="3" subtotalHiddenItems="1" itemPrintTitles="1" createdVersion="5" indent="0" outline="1" outlineData="1" multipleFieldFilters="0" chartFormat="6" rowHeaderCaption="income">
  <location ref="R68:T76" firstHeaderRow="0" firstDataRow="1" firstDataCol="1" rowPageCount="2" colPageCount="1"/>
  <pivotFields count="6">
    <pivotField axis="axisRow" allDrilled="1" subtotalTop="0" showAll="0" dataSourceSort="1" defaultSubtotal="0">
      <items count="3">
        <item x="0"/>
        <item x="1"/>
        <item x="2"/>
      </items>
    </pivotField>
    <pivotField axis="axisRow" allDrilled="1" subtotalTop="0" showAll="0" dataSourceSort="1" defaultSubtotal="0">
      <items count="4">
        <item x="0" e="0"/>
        <item x="1" e="0"/>
        <item x="2" e="0"/>
        <item x="3" e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0"/>
    <field x="1"/>
  </rowFields>
  <rowItems count="8">
    <i>
      <x/>
    </i>
    <i r="1">
      <x/>
    </i>
    <i>
      <x v="1"/>
    </i>
    <i r="1">
      <x v="1"/>
    </i>
    <i>
      <x v="2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pageFields count="2">
    <pageField fld="2" hier="20" name="[transactions].[type].&amp;[income]" cap="income"/>
    <pageField fld="3" hier="23" name="[transactions].[this month].&amp;[True]" cap="TRUE"/>
  </pageFields>
  <dataFields count="2">
    <dataField name="amount" fld="4" baseField="0" baseItem="0" numFmtId="168"/>
    <dataField name="rate" fld="5" showDataAs="percentOfTotal" baseField="0" baseItem="0" numFmtId="10">
      <extLst>
        <ext xmlns:x14="http://schemas.microsoft.com/office/spreadsheetml/2009/9/main" uri="{E15A36E0-9728-4e99-A89B-3F7291B0FE68}">
          <x14:dataField sourceField="4" uniqueName="[__Xl2].[Measures].[Sum of amount]"/>
        </ext>
      </extLst>
    </dataField>
  </dataField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amount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income" showRowHeaders="1" showColHeaders="1" showRowStripes="0" showColStripes="0" showLastColumn="1"/>
  <rowHierarchiesUsage count="2">
    <rowHierarchyUsage hierarchyUsage="21"/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15D21-73A8-4E9A-8868-F0A64F2B42A6}" name="acounts_statement" cacheId="242" applyNumberFormats="0" applyBorderFormats="0" applyFontFormats="0" applyPatternFormats="0" applyAlignmentFormats="0" applyWidthHeightFormats="1" dataCaption="Values" tag="dec844f0-75ba-40c3-917f-f9aaa2889e47" updatedVersion="8" minRefreshableVersion="3" showDrill="0" useAutoFormatting="1" subtotalHiddenItems="1" itemPrintTitles="1" createdVersion="8" indent="0" outline="1" outlineData="1" multipleFieldFilters="0" rowHeaderCaption="acount">
  <location ref="B6:C8" firstHeaderRow="1" firstDataRow="1" firstDataCol="1"/>
  <pivotFields count="3">
    <pivotField axis="axisRow" allDrilled="1" subtotalTop="0" showAll="0" dataSourceSort="1" defaultSubtotal="0">
      <items count="1">
        <item x="0" e="0"/>
      </items>
    </pivotField>
    <pivotField axis="axisRow" allDrilled="1" subtotalTop="0" showAll="0" dataSourceSort="1" defaultSubtotal="0">
      <items count="4">
        <item x="0" e="0"/>
        <item x="1" e="0"/>
        <item x="2" e="0"/>
        <item x="3" e="0"/>
      </items>
    </pivotField>
    <pivotField dataField="1" subtotalTop="0" showAll="0" defaultSubtotal="0"/>
  </pivotFields>
  <rowFields count="2">
    <field x="0"/>
    <field x="1"/>
  </rowFields>
  <rowItems count="2">
    <i>
      <x/>
    </i>
    <i t="grand">
      <x/>
    </i>
  </rowItems>
  <colItems count="1">
    <i/>
  </colItems>
  <dataFields count="1">
    <dataField name="amount" fld="2" baseField="0" baseItem="0"/>
  </dataFields>
  <formats count="6">
    <format dxfId="121">
      <pivotArea field="0" type="button" dataOnly="0" labelOnly="1" outline="0" axis="axisRow" fieldPosition="0"/>
    </format>
    <format dxfId="120">
      <pivotArea field="0" type="button" dataOnly="0" labelOnly="1" outline="0" axis="axisRow" fieldPosition="0"/>
    </format>
    <format dxfId="119">
      <pivotArea dataOnly="0" fieldPosition="0">
        <references count="1">
          <reference field="0" count="0"/>
        </references>
      </pivotArea>
    </format>
    <format dxfId="118">
      <pivotArea dataOnly="0" grandRow="1" fieldPosition="0"/>
    </format>
    <format dxfId="117">
      <pivotArea outline="0" collapsedLevelsAreSubtotals="1" fieldPosition="0"/>
    </format>
    <format dxfId="116">
      <pivotArea dataOnly="0" grandRow="1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receivable"/>
    <pivotHierarchy dragToData="1" caption="payable"/>
    <pivotHierarchy dragToData="1"/>
    <pivotHierarchy dragToData="1"/>
    <pivotHierarchy dragToData="1"/>
    <pivotHierarchy dragToData="1"/>
    <pivotHierarchy dragToData="1"/>
    <pivotHierarchy dragToData="1" caption="amount"/>
  </pivotHierarchies>
  <pivotTableStyleInfo name="PivotTable Style 3" showRowHeaders="1" showColHeaders="1" showRowStripes="0" showColStripes="0" showLastColumn="1"/>
  <rowHierarchiesUsage count="2">
    <rowHierarchyUsage hierarchyUsage="2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e 6.9.xlsx!debt">
        <x15:activeTabTopLevelEntity name="[deb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754A1-8A0D-45F6-A7F2-4C171D7E7424}" name="fund_name_percent" cacheId="359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5" rowHeaderCaption="fund">
  <location ref="M28:N36" firstHeaderRow="1" firstDataRow="1" firstDataCol="1"/>
  <pivotFields count="2">
    <pivotField axis="axisRow" allDrilled="1" showAll="0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%balance" fld="1" showDataAs="percentOfTotal" baseField="0" baseItem="0" numFmtId="10"/>
  </dataFields>
  <chartFormats count="8"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%balance"/>
    <pivotHierarchy dragToData="1" caption="rate"/>
    <pivotHierarchy dragToData="1"/>
    <pivotHierarchy dragToData="1"/>
  </pivotHierarchies>
  <pivotTableStyleInfo name="PivotTable Style 3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e 6.9.xlsx!fund_certs">
        <x15:activeTabTopLevelEntity name="[fund_cer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D51173-56BA-41A8-BF3B-A877724D5B12}" name="expense_category" cacheId="353" applyNumberFormats="0" applyBorderFormats="0" applyFontFormats="0" applyPatternFormats="0" applyAlignmentFormats="0" applyWidthHeightFormats="1" dataCaption="Values" tag="d80a6e5a-ccf6-487e-93c5-e9baa2e8a241" updatedVersion="8" minRefreshableVersion="3" itemPrintTitles="1" createdVersion="8" indent="0" outline="1" outlineData="1" multipleFieldFilters="0" chartFormat="13" rowHeaderCaption="category">
  <location ref="P19:Q25" firstHeaderRow="1" firstDataRow="1" firstDataCol="1" rowPageCount="2" colPageCount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6">
    <i>
      <x v="3"/>
    </i>
    <i>
      <x v="4"/>
    </i>
    <i>
      <x v="2"/>
    </i>
    <i>
      <x/>
    </i>
    <i>
      <x v="1"/>
    </i>
    <i t="grand">
      <x/>
    </i>
  </rowItems>
  <colItems count="1">
    <i/>
  </colItems>
  <pageFields count="2">
    <pageField fld="1" hier="23" name="[transactions].[this month].&amp;[True]" cap="TRUE"/>
    <pageField fld="3" hier="20" name="[transactions].[type].&amp;[expense]" cap="expense"/>
  </pageFields>
  <dataFields count="1">
    <dataField name="amount" fld="2" baseField="0" baseItem="0" numFmtId="168"/>
  </dataFields>
  <formats count="1">
    <format dxfId="33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mount"/>
    <pivotHierarchy dragToData="1"/>
    <pivotHierarchy dragToData="1"/>
    <pivotHierarchy dragToData="1"/>
    <pivotHierarchy dragToData="1"/>
  </pivotHierarchies>
  <pivotTableStyleInfo name="expense" showRowHeaders="1" showColHeaders="1" showRowStripes="0" showColStripes="0" showLastColumn="1"/>
  <filters count="1">
    <filter fld="0" type="count" id="1" iMeasureHier="33">
      <autoFilter ref="A1">
        <filterColumn colId="0">
          <top10 val="5" filterVal="5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909FC-13EC-445C-9950-B5F234E183BF}" name="income_category" cacheId="341" applyNumberFormats="0" applyBorderFormats="0" applyFontFormats="0" applyPatternFormats="0" applyAlignmentFormats="0" applyWidthHeightFormats="1" dataCaption="Values" tag="a40eca60-5ed7-4573-a70b-469081bce793" updatedVersion="8" minRefreshableVersion="3" subtotalHiddenItems="1" itemPrintTitles="1" createdVersion="8" indent="0" outline="1" outlineData="1" multipleFieldFilters="0" chartFormat="6" rowHeaderCaption="category">
  <location ref="P10:Q15" firstHeaderRow="1" firstDataRow="1" firstDataCol="1" rowPageCount="2" colPageCount="1"/>
  <pivotFields count="4">
    <pivotField axis="axisRow" allDrilled="1" subtotalTop="0" showAll="0" measureFilter="1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2">
    <pageField fld="1" hier="23" name="[transactions].[this month].&amp;[True]" cap="TRUE"/>
    <pageField fld="3" hier="20" name="[transactions].[type].&amp;[income]" cap="income"/>
  </pageFields>
  <dataFields count="1">
    <dataField name="amount" fld="2" baseField="0" baseItem="0" numFmtId="168"/>
  </dataFields>
  <formats count="1">
    <format dxfId="3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mount"/>
    <pivotHierarchy dragToData="1"/>
    <pivotHierarchy dragToData="1"/>
    <pivotHierarchy dragToData="1"/>
    <pivotHierarchy dragToData="1"/>
  </pivotHierarchies>
  <pivotTableStyleInfo name="income" showRowHeaders="1" showColHeaders="1" showRowStripes="0" showColStripes="0" showLastColumn="1"/>
  <filters count="1">
    <filter fld="0" type="count" id="1" iMeasureHier="33">
      <autoFilter ref="A1">
        <filterColumn colId="0">
          <top10 val="5" filterVal="5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9F9754-1848-4C98-86F8-07CDBC32DF82}" name="expense_group" cacheId="350" applyNumberFormats="0" applyBorderFormats="0" applyFontFormats="0" applyPatternFormats="0" applyAlignmentFormats="0" applyWidthHeightFormats="1" dataCaption="Values" tag="4544f66c-2bcf-4b80-9c88-161c50ead4ad" updatedVersion="8" minRefreshableVersion="3" itemPrintTitles="1" createdVersion="8" indent="0" outline="1" outlineData="1" multipleFieldFilters="0" chartFormat="13" rowHeaderCaption="group">
  <location ref="M19:N22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2">
    <pageField fld="1" hier="23" name="[transactions].[this month].&amp;[True]" cap="TRUE"/>
    <pageField fld="2" hier="20" name="[transactions].[type].&amp;[expense]" cap="expense"/>
  </pageFields>
  <dataFields count="1">
    <dataField name="flow" fld="3" baseField="0" baseItem="0" numFmtId="168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amount"/>
    <pivotHierarchy dragToData="1" caption="flow"/>
    <pivotHierarchy dragToData="1"/>
    <pivotHierarchy dragToData="1"/>
    <pivotHierarchy dragToData="1"/>
    <pivotHierarchy dragToData="1"/>
  </pivotHierarchies>
  <pivotTableStyleInfo name="expense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393473-D47F-4644-9669-759F6DE2B9C7}" name="income_group" cacheId="347" applyNumberFormats="0" applyBorderFormats="0" applyFontFormats="0" applyPatternFormats="0" applyAlignmentFormats="0" applyWidthHeightFormats="1" dataCaption="Values" tag="b95168d3-6178-475f-adba-83cc5005139c" updatedVersion="8" minRefreshableVersion="3" itemPrintTitles="1" createdVersion="8" indent="0" outline="1" outlineData="1" multipleFieldFilters="0" chartFormat="10" rowHeaderCaption="group">
  <location ref="M10:N14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pageFields count="2">
    <pageField fld="1" hier="23" name="[transactions].[this month].&amp;[True]" cap="TRUE"/>
    <pageField fld="2" hier="20" name="[transactions].[type].&amp;[income]" cap="income"/>
  </pageFields>
  <dataFields count="1">
    <dataField name="amount" fld="3" baseField="0" baseItem="0" numFmtId="168"/>
  </dataField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amount"/>
    <pivotHierarchy dragToData="1" caption="amount"/>
    <pivotHierarchy dragToData="1"/>
    <pivotHierarchy dragToData="1"/>
    <pivotHierarchy dragToData="1"/>
    <pivotHierarchy dragToData="1"/>
  </pivotHierarchies>
  <pivotTableStyleInfo name="income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042A77-EC81-4C04-9385-064A32B11F57}" name="fund_type_percent" cacheId="362" applyNumberFormats="0" applyBorderFormats="0" applyFontFormats="0" applyPatternFormats="0" applyAlignmentFormats="0" applyWidthHeightFormats="1" dataCaption="Values" tag="fed11a14-b9c6-4256-a07e-8286d784d679" updatedVersion="8" minRefreshableVersion="3" itemPrintTitles="1" createdVersion="8" indent="0" outline="1" outlineData="1" multipleFieldFilters="0" chartFormat="8" rowHeaderCaption="type of fund">
  <location ref="P28:Q32" firstHeaderRow="1" firstDataRow="1" firstDataCol="1"/>
  <pivotFields count="2">
    <pivotField axis="axisRow" allDrilled="1" subtotalTop="0" showAll="0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rate" fld="1" showDataAs="percentOfTotal" baseField="0" baseItem="2" numFmtId="10"/>
  </dataFields>
  <chartFormats count="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rate"/>
    <pivotHierarchy dragToData="1"/>
    <pivotHierarchy dragToData="1"/>
    <pivotHierarchy dragToData="1"/>
  </pivotHierarchies>
  <pivotTableStyleInfo name="PivotTable Style 3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und_cer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A58606-4B31-4BD5-8550-CE93EED0130E}" name="months_stat" displayName="months_stat" ref="P29:T42" headerRowDxfId="164" dataDxfId="163" totalsRowDxfId="162" totalsRowBorderDxfId="161">
  <autoFilter ref="P29:T42" xr:uid="{9AA58606-4B31-4BD5-8550-CE93EED0130E}"/>
  <tableColumns count="5">
    <tableColumn id="1" xr3:uid="{9DF2A689-91E7-4B11-A715-66C69110AF9A}" name="month" totalsRowLabel="Total" dataDxfId="160" totalsRowDxfId="159">
      <calculatedColumnFormula>DATE(2025, 4, 1)</calculatedColumnFormula>
    </tableColumn>
    <tableColumn id="2" xr3:uid="{4E0BC71B-5F20-477A-BE0C-3E83E98F8113}" name="income" totalsRowFunction="sum" dataDxfId="158" totalsRowDxfId="157">
      <calculatedColumnFormula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calculatedColumnFormula>
    </tableColumn>
    <tableColumn id="3" xr3:uid="{CAC8B9B8-D8EB-43CE-A018-6898E4998445}" name="expense" totalsRowFunction="sum" dataDxfId="156" totalsRowDxfId="155">
      <calculatedColumnFormula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calculatedColumnFormula>
    </tableColumn>
    <tableColumn id="4" xr3:uid="{70A8FE01-77F4-4D28-A027-044CDEECA547}" name="cash flow" dataDxfId="154" totalsRowDxfId="153">
      <calculatedColumnFormula>months_stat[[#This Row],[income]]-months_stat[[#This Row],[expense]]</calculatedColumnFormula>
    </tableColumn>
    <tableColumn id="5" xr3:uid="{BB5E1DF4-1DA5-4739-AC78-C428F1AE0C83}" name="savings rate" dataDxfId="152" totalsRowDxfId="151" dataCellStyle="Percent">
      <calculatedColumnFormula>IF(months_stat[[#This Row],[income]]&gt;0, (months_stat[[#This Row],[income]]-months_stat[[#This Row],[expense]])/months_stat[[#This Row],[income]], 0)</calculatedColumnFormula>
    </tableColumn>
  </tableColumns>
  <tableStyleInfo name="Table Style 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CD1962-F893-42BA-800B-92B8C442BEFF}" name="wallets" displayName="wallets" ref="B6:D13" totalsRowCount="1" headerRowDxfId="150" dataDxfId="149" totalsRowDxfId="148">
  <autoFilter ref="B6:D12" xr:uid="{9ACD1962-F893-42BA-800B-92B8C442BEFF}"/>
  <tableColumns count="3">
    <tableColumn id="2" xr3:uid="{6665061B-777D-428A-B53B-5019A08C8C59}" name="wallet" totalsRowLabel="Total" dataDxfId="147" totalsRowDxfId="146"/>
    <tableColumn id="3" xr3:uid="{D8872F69-DAA7-4FB0-ABDE-0A835E1AF13E}" name="balance" totalsRowFunction="custom" dataDxfId="145" totalsRowDxfId="144">
      <calculatedColumnFormula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calculatedColumnFormula>
      <totalsRowFormula>SUM(wallets[balance])</totalsRowFormula>
    </tableColumn>
    <tableColumn id="1" xr3:uid="{E09CE42C-5EEA-4B7C-8439-7271C936A56D}" name="rate" totalsRowFunction="sum" dataDxfId="143" totalsRowDxfId="142">
      <calculatedColumnFormula>wallets[[#This Row],[balance]]/SUM(wallets[balance])</calculatedColumnFormula>
    </tableColumn>
  </tableColumns>
  <tableStyleInfo name="Table Style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CC88BF7-1CC6-4990-A059-40A2A4E49AAC}" name="transactions" displayName="transactions" ref="B16:G1197" headerRowDxfId="141" dataDxfId="140">
  <autoFilter ref="B16:G1197" xr:uid="{6CC88BF7-1CC6-4990-A059-40A2A4E49AAC}">
    <filterColumn colId="0">
      <dynamicFilter type="thisWeek" val="46250" maxVal="46257"/>
    </filterColumn>
  </autoFilter>
  <tableColumns count="6">
    <tableColumn id="1" xr3:uid="{4AF43A45-0599-40F1-8CE4-4DC2072BE777}" name="date" totalsRowFunction="custom" dataDxfId="139" totalsRowDxfId="138">
      <totalsRowFormula>DATE(2026, 8, 1)</totalsRowFormula>
    </tableColumn>
    <tableColumn id="3" xr3:uid="{69498429-5B6C-4D8A-A853-1F873CA7E784}" name="amount" dataDxfId="137" totalsRowDxfId="136"/>
    <tableColumn id="4" xr3:uid="{28E6C312-EDA2-4A7C-8C8E-247C52807851}" name="wallet" dataDxfId="135" totalsRowDxfId="134"/>
    <tableColumn id="6" xr3:uid="{51FE3FA3-2E0F-4C38-A09D-FF07C0F12F61}" name="type" dataDxfId="133" totalsRowDxfId="132"/>
    <tableColumn id="7" xr3:uid="{09531535-1E75-4115-960B-2A842EE5B430}" name="group" dataDxfId="131" totalsRowDxfId="130"/>
    <tableColumn id="2" xr3:uid="{3A0888C4-05A2-4052-9BD1-6E1645C7EC92}" name="category" dataDxfId="129" totalsRowDxfId="128"/>
  </tableColumns>
  <tableStyleInfo name="Table Style 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F63632-6E6A-4AE6-B34F-C93F47E25CB6}" name="transfers" displayName="transfers" ref="B1200:E1226" totalsRowShown="0" headerRowDxfId="127" dataDxfId="126">
  <autoFilter ref="B1200:E1226" xr:uid="{74F63632-6E6A-4AE6-B34F-C93F47E25CB6}">
    <filterColumn colId="0">
      <dynamicFilter type="thisWeek" val="46243" maxVal="46250"/>
    </filterColumn>
  </autoFilter>
  <tableColumns count="4">
    <tableColumn id="1" xr3:uid="{66549FD9-8C58-46A0-AB19-9704A05EF77D}" name="date" dataDxfId="125"/>
    <tableColumn id="3" xr3:uid="{985BCC81-C484-4DE8-B074-D761C00797F5}" name="amount" dataDxfId="124"/>
    <tableColumn id="4" xr3:uid="{965E1258-F7D8-40C4-A290-B5EF4E41F3E9}" name="from" dataDxfId="123"/>
    <tableColumn id="8" xr3:uid="{8489C6F0-1CEF-4F4E-82C7-BD1ED0A5A528}" name="to" dataDxfId="122"/>
  </tableColumns>
  <tableStyleInfo name="Table Style 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D79D2E-8E30-4667-9E00-9C3D5E1B61BD}" name="debt" displayName="debt" ref="B14:H15" totalsRowShown="0" headerRowDxfId="115" dataDxfId="114">
  <autoFilter ref="B14:H15" xr:uid="{46D79D2E-8E30-4667-9E00-9C3D5E1B61BD}"/>
  <tableColumns count="7">
    <tableColumn id="1" xr3:uid="{D6DDBEF5-2E58-4868-882A-42D15F43945D}" name="date" dataDxfId="113">
      <calculatedColumnFormula>DATE(2026, 8, 7)</calculatedColumnFormula>
    </tableColumn>
    <tableColumn id="2" xr3:uid="{E6F4A43B-E948-4FF2-8888-C72F04E64A34}" name="batch" dataDxfId="112"/>
    <tableColumn id="3" xr3:uid="{73164CF5-6DB3-4BFA-8A09-3A61F8A00D4B}" name="person" dataDxfId="111"/>
    <tableColumn id="4" xr3:uid="{66A53E51-3F4E-4A35-8B2C-7EE8557FFEB9}" name="type" dataDxfId="110"/>
    <tableColumn id="5" xr3:uid="{6000AF22-578F-4551-B4C2-ED3A7137200F}" name="amount" dataDxfId="109"/>
    <tableColumn id="6" xr3:uid="{DBC6E361-28EA-409C-A058-1E875EA1392D}" name="wallet" dataDxfId="108"/>
    <tableColumn id="7" xr3:uid="{612CAB6F-BAC1-4071-A571-7ED4318969F0}" name="note" dataDxfId="107"/>
  </tableColumns>
  <tableStyleInfo name="Table Style 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C5ED7B-34D9-4AD4-96DD-96AD92C02627}" name="savings" displayName="savings" ref="B42:I55" totalsRowCount="1" headerRowDxfId="106" dataDxfId="105" totalsRowDxfId="104">
  <autoFilter ref="B42:I54" xr:uid="{5EC5ED7B-34D9-4AD4-96DD-96AD92C02627}"/>
  <sortState xmlns:xlrd2="http://schemas.microsoft.com/office/spreadsheetml/2017/richdata2" ref="B43:I54">
    <sortCondition descending="1" ref="H43:H54"/>
  </sortState>
  <tableColumns count="8">
    <tableColumn id="1" xr3:uid="{AB375C6F-3FC5-4051-AA72-CD19577253DA}" name="fund" totalsRowLabel="Total" dataDxfId="103" totalsRowDxfId="102"/>
    <tableColumn id="10" xr3:uid="{23ABCFB1-CF61-4DC6-A72B-2D614542091C}" name="principal" totalsRowFunction="sum" dataDxfId="101" totalsRowDxfId="100"/>
    <tableColumn id="2" xr3:uid="{75D030BC-4ED7-476E-BCD9-54DCE7E14A5E}" name="capital" totalsRowFunction="sum" dataDxfId="99" totalsRowDxfId="98"/>
    <tableColumn id="3" xr3:uid="{E17558B6-2009-4250-82E8-F25BCE90AE4B}" name="term" dataDxfId="97" totalsRowDxfId="96"/>
    <tableColumn id="4" xr3:uid="{AF4F4DE6-F301-4DBA-B2D5-F7F019AEB349}" name="rate" dataDxfId="95" totalsRowDxfId="94"/>
    <tableColumn id="5" xr3:uid="{42642527-6861-46EA-9CBF-331E79DA3CA8}" name="start" dataDxfId="93" totalsRowDxfId="92">
      <calculatedColumnFormula>DATE(2023, 11, 24)</calculatedColumnFormula>
    </tableColumn>
    <tableColumn id="6" xr3:uid="{C71B719A-C991-4CDB-8C2E-9F64179AC486}" name="process" dataDxfId="91" totalsRowDxfId="90" dataCellStyle="Percent">
      <calculatedColumnFormula>IF(savings[[#This Row],[term]]="unlimited", 1, (TODAY() - savings[[#This Row],[start]]) / (VLOOKUP(savings[[#This Row],[term]], term[], 2,FALSE)))</calculatedColumnFormula>
    </tableColumn>
    <tableColumn id="9" xr3:uid="{352BE966-0958-45D9-818E-D695E66AB177}" name="balance" totalsRowFunction="sum" dataDxfId="89" totalsRowDxfId="88">
      <calculatedColumnFormula>IF(savings[[#This Row],[term]]="unlimited",savings[[#This Row],[capital]]*savings[[#This Row],[rate]]/365, (savings[[#This Row],[rate]]/365) * (TODAY() - savings[[#This Row],[start]]) *savings[[#This Row],[capital]] ) + savings[[#This Row],[capital]]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85D48F4-F208-45D3-9F4C-4CFFC5AB6D0C}" name="fund_certs" displayName="fund_certs" ref="B58:I84" totalsRowCount="1" headerRowDxfId="87" dataDxfId="86" totalsRowDxfId="85">
  <autoFilter ref="B58:I83" xr:uid="{B85D48F4-F208-45D3-9F4C-4CFFC5AB6D0C}"/>
  <sortState xmlns:xlrd2="http://schemas.microsoft.com/office/spreadsheetml/2017/richdata2" ref="B59:I77">
    <sortCondition ref="F59:F77"/>
  </sortState>
  <tableColumns count="8">
    <tableColumn id="1" xr3:uid="{3091F74F-9F36-4AC4-9481-0A7C3F7528BD}" name="fund" totalsRowLabel="Total" dataDxfId="84" totalsRowDxfId="83"/>
    <tableColumn id="8" xr3:uid="{E2EBDF92-7418-4563-BC7E-6B998765A986}" name="name" dataDxfId="82" totalsRowDxfId="81"/>
    <tableColumn id="3" xr3:uid="{F11F7CD4-3132-4590-84D5-5DD24B4B765A}" name="type" dataDxfId="80" totalsRowDxfId="79"/>
    <tableColumn id="9" xr3:uid="{7DB8DBA7-717E-4BF0-8278-E26268E2C81E}" name="principal" totalsRowFunction="sum" dataDxfId="78" totalsRowDxfId="77"/>
    <tableColumn id="4" xr3:uid="{A0CCD56A-6EDD-4F3C-AB45-ACDEEF9CA42D}" name="start" dataDxfId="76" totalsRowDxfId="75"/>
    <tableColumn id="10" xr3:uid="{A6375558-A9E0-40A3-972A-DD26FC354495}" name="rate" dataDxfId="74" totalsRowDxfId="73">
      <calculatedColumnFormula xml:space="preserve"> RATE((TODAY() - fund_certs[[#This Row],[start]]) / 365.25, 0, 0 - fund_certs[[#This Row],[principal]], fund_certs[[#This Row],[balance]], 0)</calculatedColumnFormula>
    </tableColumn>
    <tableColumn id="6" xr3:uid="{A05CA1F1-579C-43D7-BF57-46579EEC62DD}" name="interest" dataDxfId="72" totalsRowDxfId="71">
      <calculatedColumnFormula>fund_certs[[#This Row],[balance]]-fund_certs[[#This Row],[principal]]</calculatedColumnFormula>
    </tableColumn>
    <tableColumn id="13" xr3:uid="{7EF8243C-4030-4DCC-B17D-FB06A4A5CFDE}" name="balance" totalsRowFunction="sum" dataDxfId="70" totalsRowDxfId="69"/>
  </tableColumns>
  <tableStyleInfo name="Table Style 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50CDF4-3788-4D09-9999-1F6A1DCAD29A}" name="funds" displayName="funds" ref="B6:K11" totalsRowCount="1" headerRowDxfId="68" dataDxfId="67" totalsRowDxfId="66" totalsRowBorderDxfId="65">
  <autoFilter ref="B6:K10" xr:uid="{6650CDF4-3788-4D09-9999-1F6A1DCAD29A}"/>
  <tableColumns count="10">
    <tableColumn id="1" xr3:uid="{B387C609-261F-40F4-9E5A-2DB554DA4E4D}" name="fund" totalsRowLabel="Total" dataDxfId="64" totalsRowDxfId="63"/>
    <tableColumn id="2" xr3:uid="{2E045485-265A-4EF3-A937-83DDE86B6E53}" name="cash" dataDxfId="62" totalsRowDxfId="61">
      <calculatedColumnFormula>VLOOKUP(funds[[#This Row],[fund]], funds_cash[], 2,FALSE )</calculatedColumnFormula>
    </tableColumn>
    <tableColumn id="7" xr3:uid="{55A71409-776A-4691-BEE1-6A40A50FD1AF}" name="%cash" dataDxfId="60" totalsRowDxfId="59" dataCellStyle="Percent">
      <calculatedColumnFormula>IFERROR(funds[[#This Row],[cash]]/funds[[#This Row],[total]], 0)</calculatedColumnFormula>
    </tableColumn>
    <tableColumn id="3" xr3:uid="{2426E06A-C24B-48AD-A8FB-344381BF01F5}" name="saving" dataDxfId="58" totalsRowDxfId="57">
      <calculatedColumnFormula>SUMIFS(savings[balance], savings[fund], "="&amp;funds[[#This Row],[fund]])</calculatedColumnFormula>
    </tableColumn>
    <tableColumn id="8" xr3:uid="{44F3D37E-BDAB-4F33-8A08-622399E2C678}" name="%saving" dataDxfId="56" totalsRowDxfId="55" dataCellStyle="Percent">
      <calculatedColumnFormula>IFERROR(funds[[#This Row],[saving]]/funds[[#This Row],[total]], 0)</calculatedColumnFormula>
    </tableColumn>
    <tableColumn id="4" xr3:uid="{2DFDCA6D-B839-4925-B51F-1BDF24BB3A09}" name="fund cert" dataDxfId="54" totalsRowDxfId="53">
      <calculatedColumnFormula>SUMIFS(fund_certs[balance], fund_certs[fund], "="&amp;funds[[#This Row],[fund]])</calculatedColumnFormula>
    </tableColumn>
    <tableColumn id="11" xr3:uid="{3343357C-3CE0-4E79-B94C-65A1CD8AB8F8}" name="%fund cert" dataDxfId="52" totalsRowDxfId="51" dataCellStyle="Percent">
      <calculatedColumnFormula>IFERROR(funds[[#This Row],[fund cert]]/funds[[#This Row],[total]], 0)</calculatedColumnFormula>
    </tableColumn>
    <tableColumn id="5" xr3:uid="{FEF93EE6-E4F1-45F6-ACCE-6FF370BD5781}" name="total" totalsRowFunction="sum" dataDxfId="50" totalsRowDxfId="49">
      <calculatedColumnFormula>funds[[#This Row],[cash]]+funds[[#This Row],[saving]]+funds[[#This Row],[fund cert]]</calculatedColumnFormula>
    </tableColumn>
    <tableColumn id="9" xr3:uid="{0E13C09A-4D53-453C-9628-8ABCEDF3DDE0}" name="target" dataDxfId="48" totalsRowDxfId="47">
      <calculatedColumnFormula>VLOOKUP(funds[[#This Row],[fund]], funds_cash[], 2,FALSE )</calculatedColumnFormula>
    </tableColumn>
    <tableColumn id="10" xr3:uid="{B909E75E-A7C7-4789-95E2-281B01382075}" name="process" dataDxfId="46" totalsRowDxfId="45" dataCellStyle="Percent">
      <calculatedColumnFormula>IF(funds[[#This Row],[target]]=0, 1, funds[[#This Row],[total]]/funds[[#This Row],[target]])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529290C-31B5-42E1-8C3A-A789FC48E628}" name="funds_cash" displayName="funds_cash" ref="B14:D19" totalsRowCount="1" headerRowDxfId="44" dataDxfId="43" totalsRowDxfId="42" totalsRowBorderDxfId="41">
  <autoFilter ref="B14:D18" xr:uid="{9529290C-31B5-42E1-8C3A-A789FC48E628}"/>
  <tableColumns count="3">
    <tableColumn id="1" xr3:uid="{1E231660-8003-4BD0-A501-1D4A81FEC3C1}" name="fund" totalsRowLabel="Total" dataDxfId="40" totalsRowDxfId="39"/>
    <tableColumn id="2" xr3:uid="{87DA3833-8508-4B51-A79D-B63B574D28E0}" name="amount" totalsRowFunction="custom" dataDxfId="38" totalsRowDxfId="37">
      <totalsRowFormula>SUM(funds_cash[amount])</totalsRowFormula>
    </tableColumn>
    <tableColumn id="3" xr3:uid="{66AD8519-9B44-45C9-A49C-3FBE042A97C8}" name="rate" totalsRowFunction="sum" dataDxfId="36" totalsRowDxfId="35">
      <calculatedColumnFormula>funds_cash[[#This Row],[amount]] / funds_cash[[#Totals],[amount]]</calculatedColumnFormula>
    </tableColumn>
  </tableColumns>
  <tableStyleInfo name="Table Style 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EF6DF6-2F70-454C-AE6F-CF93A717374F}" name="classification" displayName="classification" ref="B6:D34" totalsRowShown="0" headerRowDxfId="32" dataDxfId="31">
  <tableColumns count="3">
    <tableColumn id="1" xr3:uid="{332B4F6B-F342-49CA-8673-EBC97B0C6A58}" name="type" dataDxfId="30"/>
    <tableColumn id="2" xr3:uid="{65023770-AB68-414D-BECF-9D38305291F4}" name="group" dataDxfId="29"/>
    <tableColumn id="3" xr3:uid="{7FAF56DB-2A32-4316-9044-DE5A01138E21}" name="category" dataDxfId="28"/>
  </tableColumns>
  <tableStyleInfo name="Table Style 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569A22-0100-434F-BBF9-77D29994F791}" name="debt_type" displayName="debt_type" ref="B36:C42" totalsRowShown="0" headerRowDxfId="27" dataDxfId="26" tableBorderDxfId="25">
  <tableColumns count="2">
    <tableColumn id="1" xr3:uid="{B48DC9CE-B39E-49BE-A6CC-C7334C522FC9}" name="type" dataDxfId="24"/>
    <tableColumn id="2" xr3:uid="{C9F278CA-E59A-4558-BC4D-19A4CC2B383C}" name="description" dataDxfId="23"/>
  </tableColumns>
  <tableStyleInfo name="Table Style 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1FE2DC6-8F90-4A13-8379-BB9D6BB41D1B}" name="term" displayName="term" ref="B44:C53" totalsRowShown="0" headerRowDxfId="22" dataDxfId="21" tableBorderDxfId="20">
  <tableColumns count="2">
    <tableColumn id="1" xr3:uid="{B8589066-58D4-4248-BE03-59B8E268AF64}" name="term" dataDxfId="19"/>
    <tableColumn id="2" xr3:uid="{FD3626A5-39A3-4C3D-9EF7-B072CE5EFF82}" name="days" dataDxfId="18"/>
  </tableColumns>
  <tableStyleInfo name="Table Style 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5848D20-DBA4-4A19-AAC2-D4050261943F}" name="fund_cert_type" displayName="fund_cert_type" ref="B55:B58" totalsRowShown="0" headerRowDxfId="17" dataDxfId="16" tableBorderDxfId="15">
  <tableColumns count="1">
    <tableColumn id="1" xr3:uid="{7CADFECD-1D87-4382-9FEB-717E63B8A41D}" name="Type" dataDxfId="14"/>
  </tableColumns>
  <tableStyleInfo name="Table Style 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1D1B9A-E110-4CD8-A46A-75074F050F3F}" name="assets_total" displayName="assets_total" ref="F6:G55" totalsRowShown="0" headerRowDxfId="13" dataDxfId="12">
  <autoFilter ref="F6:G55" xr:uid="{DA1D1B9A-E110-4CD8-A46A-75074F050F3F}"/>
  <tableColumns count="2">
    <tableColumn id="1" xr3:uid="{E776EA2C-3FEC-4D74-98B3-2A1A71B443F2}" name="month" dataDxfId="11"/>
    <tableColumn id="7" xr3:uid="{3EF90866-6AAA-44B1-AB4C-56007D0C549A}" name="balance" dataDxfId="1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1E6D65-684A-4634-9D33-F45D5B695B76}" name="fund_performance" displayName="fund_performance" ref="I6:K55" totalsRowShown="0" headerRowDxfId="9" dataDxfId="8">
  <autoFilter ref="I6:K55" xr:uid="{6D1E6D65-684A-4634-9D33-F45D5B695B76}"/>
  <tableColumns count="3">
    <tableColumn id="1" xr3:uid="{774C7D60-40A2-47EA-9351-A4E02946429B}" name="months" dataDxfId="7"/>
    <tableColumn id="2" xr3:uid="{70C25307-2C78-4592-9BE5-0608CEC298E7}" name="principal" dataDxfId="6"/>
    <tableColumn id="3" xr3:uid="{49E3C5F2-90F4-43D5-9F8D-91A632D205EA}" name="interest" dataDxfId="5"/>
  </tableColumns>
  <tableStyleInfo name="Table Style 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5.bin"/><Relationship Id="rId12" Type="http://schemas.openxmlformats.org/officeDocument/2006/relationships/table" Target="../tables/table14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11" Type="http://schemas.openxmlformats.org/officeDocument/2006/relationships/table" Target="../tables/table13.xml"/><Relationship Id="rId5" Type="http://schemas.openxmlformats.org/officeDocument/2006/relationships/pivotTable" Target="../pivotTables/pivotTable8.xml"/><Relationship Id="rId10" Type="http://schemas.openxmlformats.org/officeDocument/2006/relationships/table" Target="../tables/table12.xml"/><Relationship Id="rId4" Type="http://schemas.openxmlformats.org/officeDocument/2006/relationships/pivotTable" Target="../pivotTables/pivotTable7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A76D2-F9A4-404F-99F8-4D08DD937783}">
  <sheetPr codeName="Sheet1"/>
  <dimension ref="B2:X100"/>
  <sheetViews>
    <sheetView tabSelected="1" zoomScale="95" zoomScaleNormal="95" workbookViewId="0">
      <selection activeCell="B2" sqref="B2:H3"/>
    </sheetView>
  </sheetViews>
  <sheetFormatPr defaultColWidth="9.09765625" defaultRowHeight="18"/>
  <cols>
    <col min="1" max="1" width="3.69921875" customWidth="1"/>
    <col min="2" max="2" width="3" customWidth="1"/>
    <col min="3" max="3" width="15.296875" customWidth="1"/>
    <col min="4" max="4" width="0.59765625" customWidth="1"/>
    <col min="5" max="5" width="10.8984375" bestFit="1" customWidth="1"/>
    <col min="6" max="6" width="12.296875" customWidth="1"/>
    <col min="7" max="7" width="11.09765625" customWidth="1"/>
    <col min="8" max="8" width="2.69921875" customWidth="1"/>
    <col min="9" max="9" width="3.69921875" customWidth="1"/>
    <col min="10" max="10" width="20.5" customWidth="1"/>
    <col min="11" max="11" width="0.8984375" customWidth="1"/>
    <col min="12" max="12" width="10.69921875" bestFit="1" customWidth="1"/>
    <col min="13" max="13" width="10.3984375" bestFit="1" customWidth="1"/>
    <col min="14" max="14" width="7.796875" bestFit="1" customWidth="1"/>
    <col min="15" max="15" width="1.69921875" customWidth="1"/>
    <col min="16" max="16" width="14.5" bestFit="1" customWidth="1"/>
    <col min="17" max="17" width="11.09765625" bestFit="1" customWidth="1"/>
    <col min="18" max="18" width="23.3984375" bestFit="1" customWidth="1"/>
    <col min="19" max="19" width="11.3984375" bestFit="1" customWidth="1"/>
    <col min="20" max="20" width="11.8984375" bestFit="1" customWidth="1"/>
    <col min="21" max="21" width="3.69921875" customWidth="1"/>
    <col min="22" max="22" width="2.69921875" customWidth="1"/>
    <col min="24" max="24" width="15.8984375" bestFit="1" customWidth="1"/>
    <col min="25" max="25" width="8.69921875" bestFit="1" customWidth="1"/>
    <col min="26" max="26" width="7.19921875" bestFit="1" customWidth="1"/>
    <col min="28" max="28" width="18.296875" bestFit="1" customWidth="1"/>
    <col min="29" max="29" width="11.5" bestFit="1" customWidth="1"/>
    <col min="30" max="30" width="9.69921875" bestFit="1" customWidth="1"/>
  </cols>
  <sheetData>
    <row r="2" spans="2:15" ht="14.25" customHeight="1">
      <c r="B2" s="199" t="s">
        <v>24</v>
      </c>
      <c r="C2" s="199"/>
      <c r="D2" s="199"/>
      <c r="E2" s="199"/>
      <c r="F2" s="199"/>
      <c r="G2" s="199"/>
      <c r="H2" s="199"/>
    </row>
    <row r="3" spans="2:15" ht="14.25" customHeight="1">
      <c r="B3" s="199"/>
      <c r="C3" s="199"/>
      <c r="D3" s="199"/>
      <c r="E3" s="199"/>
      <c r="F3" s="199"/>
      <c r="G3" s="199"/>
      <c r="H3" s="199"/>
    </row>
    <row r="5" spans="2:15" ht="21">
      <c r="B5" s="196" t="s">
        <v>36</v>
      </c>
      <c r="C5" s="197"/>
      <c r="D5" s="197"/>
      <c r="E5" s="197"/>
      <c r="F5" s="197"/>
      <c r="G5" s="197"/>
      <c r="H5" s="198"/>
      <c r="J5" s="193" t="s">
        <v>30</v>
      </c>
      <c r="K5" s="194"/>
      <c r="L5" s="194"/>
      <c r="M5" s="194"/>
      <c r="N5" s="194"/>
      <c r="O5" s="195"/>
    </row>
    <row r="6" spans="2:15">
      <c r="B6" s="96"/>
      <c r="C6" s="4"/>
      <c r="D6" s="4"/>
      <c r="E6" s="4"/>
      <c r="F6" s="4"/>
      <c r="G6" s="4"/>
      <c r="H6" s="97"/>
      <c r="J6" s="36"/>
      <c r="K6" s="29"/>
      <c r="L6" s="30"/>
      <c r="M6" s="29"/>
      <c r="N6" s="29"/>
      <c r="O6" s="37"/>
    </row>
    <row r="7" spans="2:15">
      <c r="B7" s="124"/>
      <c r="C7" s="4"/>
      <c r="H7" s="97"/>
      <c r="J7" s="36"/>
      <c r="K7" s="180"/>
      <c r="L7" s="42" t="str" cm="1">
        <f t="array" ref="L7:N12">wallets[]</f>
        <v>cash</v>
      </c>
      <c r="M7" s="79">
        <v>94.000333333333629</v>
      </c>
      <c r="N7" s="186">
        <v>2.4057542708171901E-2</v>
      </c>
      <c r="O7" s="37"/>
    </row>
    <row r="8" spans="2:15">
      <c r="B8" s="124"/>
      <c r="C8" s="4"/>
      <c r="H8" s="97"/>
      <c r="J8" s="36"/>
      <c r="K8" s="181"/>
      <c r="L8" s="42" t="str">
        <v>mb bank</v>
      </c>
      <c r="M8" s="79">
        <v>1235.3630000000067</v>
      </c>
      <c r="N8" s="186">
        <v>0.31616694408100071</v>
      </c>
      <c r="O8" s="37"/>
    </row>
    <row r="9" spans="2:15">
      <c r="B9" s="124"/>
      <c r="C9" s="4"/>
      <c r="H9" s="97"/>
      <c r="J9" s="36"/>
      <c r="K9" s="182"/>
      <c r="L9" s="42" t="str">
        <v>timo</v>
      </c>
      <c r="M9" s="79">
        <v>2446</v>
      </c>
      <c r="N9" s="186">
        <v>0.6260057531447224</v>
      </c>
      <c r="O9" s="37"/>
    </row>
    <row r="10" spans="2:15">
      <c r="B10" s="96"/>
      <c r="C10" s="4"/>
      <c r="H10" s="97"/>
      <c r="J10" s="36"/>
      <c r="K10" s="183"/>
      <c r="L10" s="42" t="str">
        <v>vietcombank</v>
      </c>
      <c r="M10" s="79">
        <v>0</v>
      </c>
      <c r="N10" s="186">
        <v>0</v>
      </c>
      <c r="O10" s="37"/>
    </row>
    <row r="11" spans="2:15">
      <c r="B11" s="96"/>
      <c r="C11" s="4"/>
      <c r="H11" s="97"/>
      <c r="J11" s="36"/>
      <c r="K11" s="184"/>
      <c r="L11" s="42" t="str">
        <v>msb</v>
      </c>
      <c r="M11" s="79">
        <v>0</v>
      </c>
      <c r="N11" s="186">
        <v>0</v>
      </c>
      <c r="O11" s="37"/>
    </row>
    <row r="12" spans="2:15">
      <c r="B12" s="96"/>
      <c r="C12" s="4"/>
      <c r="H12" s="97"/>
      <c r="J12" s="36"/>
      <c r="K12" s="185"/>
      <c r="L12" s="42" t="str">
        <v>shopee pay</v>
      </c>
      <c r="M12" s="79">
        <v>131.94899999999998</v>
      </c>
      <c r="N12" s="186">
        <v>3.3769760066105055E-2</v>
      </c>
      <c r="O12" s="37"/>
    </row>
    <row r="13" spans="2:15" ht="19.5">
      <c r="B13" s="96"/>
      <c r="C13" s="4"/>
      <c r="D13" s="4"/>
      <c r="H13" s="97"/>
      <c r="J13" s="36"/>
      <c r="K13" s="56"/>
      <c r="L13" s="57" t="s">
        <v>1</v>
      </c>
      <c r="M13" s="58">
        <f>SUM(M7:M12)</f>
        <v>3907.3123333333401</v>
      </c>
      <c r="N13" s="59">
        <f>SUM(N7:N12)</f>
        <v>1</v>
      </c>
      <c r="O13" s="37"/>
    </row>
    <row r="14" spans="2:15">
      <c r="B14" s="124"/>
      <c r="E14" s="4"/>
      <c r="F14" s="4"/>
      <c r="G14" s="4"/>
      <c r="H14" s="125"/>
      <c r="J14" s="36"/>
      <c r="L14" s="42"/>
      <c r="M14" s="79"/>
      <c r="N14" s="186"/>
      <c r="O14" s="37"/>
    </row>
    <row r="15" spans="2:15" ht="19.5">
      <c r="B15" s="124"/>
      <c r="E15" s="4"/>
      <c r="F15" s="4"/>
      <c r="G15" s="4"/>
      <c r="H15" s="125"/>
      <c r="J15" s="43"/>
      <c r="K15" s="44"/>
      <c r="L15" s="38"/>
      <c r="M15" s="39"/>
      <c r="N15" s="40"/>
      <c r="O15" s="41"/>
    </row>
    <row r="16" spans="2:15">
      <c r="B16" s="124"/>
      <c r="H16" s="125"/>
    </row>
    <row r="17" spans="2:23" ht="21">
      <c r="B17" s="124"/>
      <c r="H17" s="125"/>
      <c r="J17" s="188" t="s">
        <v>93</v>
      </c>
      <c r="K17" s="189"/>
      <c r="L17" s="189"/>
      <c r="M17" s="189"/>
      <c r="N17" s="189"/>
      <c r="O17" s="190"/>
    </row>
    <row r="18" spans="2:23" ht="17.25" customHeight="1">
      <c r="B18" s="124"/>
      <c r="D18" s="169"/>
      <c r="E18" s="5" t="s">
        <v>67</v>
      </c>
      <c r="F18" s="14">
        <f>wallets[[#Totals],[balance]]</f>
        <v>3907.3123333333401</v>
      </c>
      <c r="G18" s="63">
        <f t="shared" ref="G18:G23" ca="1" si="0">F18/$F$23</f>
        <v>0.12979188937274874</v>
      </c>
      <c r="H18" s="125"/>
      <c r="J18" s="74"/>
      <c r="O18" s="75"/>
    </row>
    <row r="19" spans="2:23" ht="18" customHeight="1">
      <c r="B19" s="124"/>
      <c r="D19" s="170"/>
      <c r="E19" s="5" t="s">
        <v>103</v>
      </c>
      <c r="F19" s="123">
        <f ca="1">savings[[#Totals],[balance]]</f>
        <v>17704.680109166562</v>
      </c>
      <c r="G19" s="63">
        <f t="shared" ca="1" si="0"/>
        <v>0.58810857338053801</v>
      </c>
      <c r="H19" s="125"/>
      <c r="J19" s="74"/>
      <c r="K19" s="85"/>
      <c r="L19" s="86" t="s">
        <v>109</v>
      </c>
      <c r="M19" s="93">
        <f ca="1">VLOOKUP(L19,funds[],5, FALSE)</f>
        <v>0.37880713452096354</v>
      </c>
      <c r="N19" s="87">
        <f ca="1">M19/$M$23</f>
        <v>0.21096045608199171</v>
      </c>
      <c r="O19" s="88"/>
    </row>
    <row r="20" spans="2:23" ht="19.5" customHeight="1">
      <c r="B20" s="124"/>
      <c r="D20" s="171"/>
      <c r="E20" s="5" t="s">
        <v>65</v>
      </c>
      <c r="F20" s="123">
        <f>fund_certs[[#Totals],[balance]]</f>
        <v>8442.4490000000005</v>
      </c>
      <c r="G20" s="63">
        <f t="shared" ca="1" si="0"/>
        <v>0.28043865275246016</v>
      </c>
      <c r="H20" s="125"/>
      <c r="J20" s="74"/>
      <c r="K20" s="90"/>
      <c r="L20" s="89" t="s">
        <v>110</v>
      </c>
      <c r="M20" s="93">
        <f ca="1">VLOOKUP(L20,funds[],5, FALSE)</f>
        <v>0.4168238645594361</v>
      </c>
      <c r="N20" s="87">
        <f ca="1">M20/$M$23</f>
        <v>0.23213225031919421</v>
      </c>
      <c r="O20" s="88"/>
    </row>
    <row r="21" spans="2:23">
      <c r="B21" s="124"/>
      <c r="D21" s="172"/>
      <c r="E21" s="5" t="s">
        <v>115</v>
      </c>
      <c r="F21" s="123">
        <f>SUMIF(debt[type], "=lend", debt[amount]) - SUMIF(debt[type], "=collect", debt[amount]) - SUMIF(debt[type], "=write-off lend", debt[amount])</f>
        <v>50</v>
      </c>
      <c r="G21" s="63">
        <f t="shared" ca="1" si="0"/>
        <v>1.6608844942531493E-3</v>
      </c>
      <c r="H21" s="125"/>
      <c r="J21" s="74"/>
      <c r="K21" s="91"/>
      <c r="L21" s="89" t="s">
        <v>99</v>
      </c>
      <c r="M21" s="93">
        <f ca="1">VLOOKUP(L21,funds[],5, FALSE)</f>
        <v>1</v>
      </c>
      <c r="N21" s="87">
        <f ca="1">M21/$M$23</f>
        <v>0.55690729359881408</v>
      </c>
      <c r="O21" s="88"/>
    </row>
    <row r="22" spans="2:23">
      <c r="B22" s="124"/>
      <c r="E22" s="5" t="s">
        <v>114</v>
      </c>
      <c r="F22" s="163">
        <f>SUMIF(debt[type], "=borrow", debt[amount]) - SUMIF(debt[type], "=repay", debt[amount]) - SUMIF(debt[type], "=write-off borrow", debt[amount])</f>
        <v>0</v>
      </c>
      <c r="G22" s="63">
        <f t="shared" ca="1" si="0"/>
        <v>0</v>
      </c>
      <c r="H22" s="125"/>
      <c r="J22" s="74"/>
      <c r="K22" s="92"/>
      <c r="L22" s="86" t="s">
        <v>111</v>
      </c>
      <c r="M22" s="93">
        <f>VLOOKUP(L22,funds[],5, FALSE)</f>
        <v>0</v>
      </c>
      <c r="N22" s="87">
        <f ca="1">M22/$M$23</f>
        <v>0</v>
      </c>
      <c r="O22" s="88"/>
      <c r="W22" s="4"/>
    </row>
    <row r="23" spans="2:23">
      <c r="B23" s="124"/>
      <c r="D23" s="7"/>
      <c r="E23" s="80" t="s">
        <v>1</v>
      </c>
      <c r="F23" s="82">
        <f ca="1">SUM(F18:F22)</f>
        <v>30104.441442499901</v>
      </c>
      <c r="G23" s="81">
        <f t="shared" ca="1" si="0"/>
        <v>1</v>
      </c>
      <c r="H23" s="125"/>
      <c r="J23" s="74"/>
      <c r="L23" s="83" t="s">
        <v>1</v>
      </c>
      <c r="M23" s="82">
        <f ca="1">SUM(M19:M22)</f>
        <v>1.7956309990803996</v>
      </c>
      <c r="N23" s="84">
        <f ca="1">SUM(N19:N22)</f>
        <v>1</v>
      </c>
      <c r="O23" s="88"/>
      <c r="W23" s="4"/>
    </row>
    <row r="24" spans="2:23">
      <c r="B24" s="126"/>
      <c r="C24" s="127"/>
      <c r="D24" s="127"/>
      <c r="E24" s="127"/>
      <c r="F24" s="127"/>
      <c r="G24" s="127"/>
      <c r="H24" s="128"/>
      <c r="J24" s="76"/>
      <c r="K24" s="77"/>
      <c r="L24" s="77"/>
      <c r="M24" s="77"/>
      <c r="N24" s="77"/>
      <c r="O24" s="78"/>
      <c r="W24" s="5"/>
    </row>
    <row r="25" spans="2:23">
      <c r="W25" s="5"/>
    </row>
    <row r="26" spans="2:23" ht="21">
      <c r="B26" s="200" t="s">
        <v>127</v>
      </c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W26" s="5"/>
    </row>
    <row r="27" spans="2:23">
      <c r="B27" s="96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U27" s="97"/>
    </row>
    <row r="28" spans="2:23" ht="19.5">
      <c r="B28" s="96"/>
      <c r="N28" s="4"/>
      <c r="P28" s="11" t="s">
        <v>126</v>
      </c>
      <c r="S28" s="4"/>
      <c r="U28" s="97"/>
    </row>
    <row r="29" spans="2:23" ht="19.5">
      <c r="B29" s="96"/>
      <c r="N29" s="4"/>
      <c r="P29" s="168" t="s">
        <v>119</v>
      </c>
      <c r="Q29" s="168" t="s">
        <v>34</v>
      </c>
      <c r="R29" s="168" t="s">
        <v>118</v>
      </c>
      <c r="S29" s="168" t="s">
        <v>120</v>
      </c>
      <c r="T29" s="168" t="s">
        <v>121</v>
      </c>
      <c r="U29" s="97"/>
    </row>
    <row r="30" spans="2:23">
      <c r="B30" s="96"/>
      <c r="N30" s="4"/>
      <c r="P30" s="122">
        <f t="shared" ref="P30:P41" ca="1" si="1">DATE(YEAR(P31),MONTH(P31)-1,1)</f>
        <v>45870</v>
      </c>
      <c r="Q30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7500.0770000000002</v>
      </c>
      <c r="R30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8345.7599999999984</v>
      </c>
      <c r="S30" s="121">
        <f ca="1">months_stat[[#This Row],[income]]-months_stat[[#This Row],[expense]]</f>
        <v>-845.68299999999817</v>
      </c>
      <c r="T30" s="165">
        <f ca="1">IF(months_stat[[#This Row],[income]]&gt;0, (months_stat[[#This Row],[income]]-months_stat[[#This Row],[expense]])/months_stat[[#This Row],[income]], 0)</f>
        <v>-0.11275657569915591</v>
      </c>
      <c r="U30" s="97"/>
    </row>
    <row r="31" spans="2:23">
      <c r="B31" s="96"/>
      <c r="N31" s="4"/>
      <c r="P31" s="122">
        <f t="shared" ca="1" si="1"/>
        <v>45901</v>
      </c>
      <c r="Q31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8251.0630000000001</v>
      </c>
      <c r="R31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6216.3059999999996</v>
      </c>
      <c r="S31" s="121">
        <f ca="1">months_stat[[#This Row],[income]]-months_stat[[#This Row],[expense]]</f>
        <v>2034.7570000000005</v>
      </c>
      <c r="T31" s="165">
        <f ca="1">IF(months_stat[[#This Row],[income]]&gt;0, (months_stat[[#This Row],[income]]-months_stat[[#This Row],[expense]])/months_stat[[#This Row],[income]], 0)</f>
        <v>0.24660543738424981</v>
      </c>
      <c r="U31" s="97"/>
    </row>
    <row r="32" spans="2:23">
      <c r="B32" s="96"/>
      <c r="N32" s="4"/>
      <c r="P32" s="122">
        <f t="shared" ca="1" si="1"/>
        <v>45931</v>
      </c>
      <c r="Q32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13108.93</v>
      </c>
      <c r="R32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6913.2970000000014</v>
      </c>
      <c r="S32" s="121">
        <f ca="1">months_stat[[#This Row],[income]]-months_stat[[#This Row],[expense]]</f>
        <v>6195.6329999999989</v>
      </c>
      <c r="T32" s="165">
        <f ca="1">IF(months_stat[[#This Row],[income]]&gt;0, (months_stat[[#This Row],[income]]-months_stat[[#This Row],[expense]])/months_stat[[#This Row],[income]], 0)</f>
        <v>0.4726269039502079</v>
      </c>
      <c r="U32" s="97"/>
    </row>
    <row r="33" spans="2:21">
      <c r="B33" s="96"/>
      <c r="N33" s="4"/>
      <c r="P33" s="122">
        <f t="shared" ca="1" si="1"/>
        <v>45962</v>
      </c>
      <c r="Q33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2805.0639999999999</v>
      </c>
      <c r="R33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5263.9040000000005</v>
      </c>
      <c r="S33" s="121">
        <f ca="1">months_stat[[#This Row],[income]]-months_stat[[#This Row],[expense]]</f>
        <v>-2458.8400000000006</v>
      </c>
      <c r="T33" s="165">
        <f ca="1">IF(months_stat[[#This Row],[income]]&gt;0, (months_stat[[#This Row],[income]]-months_stat[[#This Row],[expense]])/months_stat[[#This Row],[income]], 0)</f>
        <v>-0.87657180014431069</v>
      </c>
      <c r="U33" s="97"/>
    </row>
    <row r="34" spans="2:21">
      <c r="B34" s="96"/>
      <c r="N34" s="4"/>
      <c r="P34" s="122">
        <f t="shared" ca="1" si="1"/>
        <v>45992</v>
      </c>
      <c r="Q34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33380.322</v>
      </c>
      <c r="R34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29761.953999999998</v>
      </c>
      <c r="S34" s="121">
        <f ca="1">months_stat[[#This Row],[income]]-months_stat[[#This Row],[expense]]</f>
        <v>3618.3680000000022</v>
      </c>
      <c r="T34" s="165">
        <f ca="1">IF(months_stat[[#This Row],[income]]&gt;0, (months_stat[[#This Row],[income]]-months_stat[[#This Row],[expense]])/months_stat[[#This Row],[income]], 0)</f>
        <v>0.10839823534356566</v>
      </c>
      <c r="U34" s="97"/>
    </row>
    <row r="35" spans="2:21" ht="18" customHeight="1">
      <c r="B35" s="96"/>
      <c r="N35" s="4"/>
      <c r="P35" s="122">
        <f t="shared" ca="1" si="1"/>
        <v>46023</v>
      </c>
      <c r="Q35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5216.0569999999998</v>
      </c>
      <c r="R35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5623.1799999999994</v>
      </c>
      <c r="S35" s="121">
        <f ca="1">months_stat[[#This Row],[income]]-months_stat[[#This Row],[expense]]</f>
        <v>-407.12299999999959</v>
      </c>
      <c r="T35" s="165">
        <f ca="1">IF(months_stat[[#This Row],[income]]&gt;0, (months_stat[[#This Row],[income]]-months_stat[[#This Row],[expense]])/months_stat[[#This Row],[income]], 0)</f>
        <v>-7.8051869448512473E-2</v>
      </c>
      <c r="U35" s="97"/>
    </row>
    <row r="36" spans="2:21">
      <c r="B36" s="96"/>
      <c r="N36" s="4"/>
      <c r="P36" s="122">
        <f t="shared" ca="1" si="1"/>
        <v>46054</v>
      </c>
      <c r="Q36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10664.995999999999</v>
      </c>
      <c r="R36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7212.7930000000015</v>
      </c>
      <c r="S36" s="121">
        <f ca="1">months_stat[[#This Row],[income]]-months_stat[[#This Row],[expense]]</f>
        <v>3452.2029999999977</v>
      </c>
      <c r="T36" s="165">
        <f ca="1">IF(months_stat[[#This Row],[income]]&gt;0, (months_stat[[#This Row],[income]]-months_stat[[#This Row],[expense]])/months_stat[[#This Row],[income]], 0)</f>
        <v>0.32369472993707621</v>
      </c>
      <c r="U36" s="97"/>
    </row>
    <row r="37" spans="2:21">
      <c r="B37" s="96"/>
      <c r="N37" s="4"/>
      <c r="P37" s="122">
        <f t="shared" ca="1" si="1"/>
        <v>46082</v>
      </c>
      <c r="Q37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5526.0709999999999</v>
      </c>
      <c r="R37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8310.1049999999996</v>
      </c>
      <c r="S37" s="121">
        <f ca="1">months_stat[[#This Row],[income]]-months_stat[[#This Row],[expense]]</f>
        <v>-2784.0339999999997</v>
      </c>
      <c r="T37" s="165">
        <f ca="1">IF(months_stat[[#This Row],[income]]&gt;0, (months_stat[[#This Row],[income]]-months_stat[[#This Row],[expense]])/months_stat[[#This Row],[income]], 0)</f>
        <v>-0.50379989688876592</v>
      </c>
      <c r="U37" s="97"/>
    </row>
    <row r="38" spans="2:21">
      <c r="B38" s="96"/>
      <c r="N38" s="4"/>
      <c r="P38" s="122">
        <f t="shared" ca="1" si="1"/>
        <v>46113</v>
      </c>
      <c r="Q38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4659.4420000000009</v>
      </c>
      <c r="R38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4485.3890000000001</v>
      </c>
      <c r="S38" s="121">
        <f ca="1">months_stat[[#This Row],[income]]-months_stat[[#This Row],[expense]]</f>
        <v>174.05300000000079</v>
      </c>
      <c r="T38" s="165">
        <f ca="1">IF(months_stat[[#This Row],[income]]&gt;0, (months_stat[[#This Row],[income]]-months_stat[[#This Row],[expense]])/months_stat[[#This Row],[income]], 0)</f>
        <v>3.7354902153519831E-2</v>
      </c>
      <c r="U38" s="97"/>
    </row>
    <row r="39" spans="2:21">
      <c r="B39" s="96"/>
      <c r="N39" s="4"/>
      <c r="P39" s="122">
        <f t="shared" ca="1" si="1"/>
        <v>46143</v>
      </c>
      <c r="Q39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5157.0159999999996</v>
      </c>
      <c r="R39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3950.9659999999999</v>
      </c>
      <c r="S39" s="121">
        <f ca="1">months_stat[[#This Row],[income]]-months_stat[[#This Row],[expense]]</f>
        <v>1206.0499999999997</v>
      </c>
      <c r="T39" s="165">
        <f ca="1">IF(months_stat[[#This Row],[income]]&gt;0, (months_stat[[#This Row],[income]]-months_stat[[#This Row],[expense]])/months_stat[[#This Row],[income]], 0)</f>
        <v>0.23386586351486979</v>
      </c>
      <c r="U39" s="97"/>
    </row>
    <row r="40" spans="2:21">
      <c r="B40" s="96"/>
      <c r="N40" s="4"/>
      <c r="P40" s="122">
        <f t="shared" ca="1" si="1"/>
        <v>46174</v>
      </c>
      <c r="Q40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5736</v>
      </c>
      <c r="R40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4940.5919999999996</v>
      </c>
      <c r="S40" s="121">
        <f ca="1">months_stat[[#This Row],[income]]-months_stat[[#This Row],[expense]]</f>
        <v>795.40800000000036</v>
      </c>
      <c r="T40" s="165">
        <f ca="1">IF(months_stat[[#This Row],[income]]&gt;0, (months_stat[[#This Row],[income]]-months_stat[[#This Row],[expense]])/months_stat[[#This Row],[income]], 0)</f>
        <v>0.13866945606694567</v>
      </c>
      <c r="U40" s="97"/>
    </row>
    <row r="41" spans="2:21">
      <c r="B41" s="96"/>
      <c r="N41" s="4"/>
      <c r="P41" s="122">
        <f t="shared" ca="1" si="1"/>
        <v>46204</v>
      </c>
      <c r="Q41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91591.255000000005</v>
      </c>
      <c r="R41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62870.811000000002</v>
      </c>
      <c r="S41" s="121">
        <f ca="1">months_stat[[#This Row],[income]]-months_stat[[#This Row],[expense]]</f>
        <v>28720.444000000003</v>
      </c>
      <c r="T41" s="165">
        <f ca="1">IF(months_stat[[#This Row],[income]]&gt;0, (months_stat[[#This Row],[income]]-months_stat[[#This Row],[expense]])/months_stat[[#This Row],[income]], 0)</f>
        <v>0.31357190159693743</v>
      </c>
      <c r="U41" s="97"/>
    </row>
    <row r="42" spans="2:21">
      <c r="B42" s="96"/>
      <c r="P42" s="122">
        <f ca="1">DATE(YEAR(TODAY()), MONTH(TODAY()), 1)</f>
        <v>46235</v>
      </c>
      <c r="Q42" s="121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6203.0230000000001</v>
      </c>
      <c r="R42" s="121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6398.081000000001</v>
      </c>
      <c r="S42" s="121">
        <f ca="1">months_stat[[#This Row],[income]]-months_stat[[#This Row],[expense]]</f>
        <v>-195.0580000000009</v>
      </c>
      <c r="T42" s="165">
        <f ca="1">IF(months_stat[[#This Row],[income]]&gt;0, (months_stat[[#This Row],[income]]-months_stat[[#This Row],[expense]])/months_stat[[#This Row],[income]], 0)</f>
        <v>-3.1445635458711166E-2</v>
      </c>
      <c r="U42" s="97"/>
    </row>
    <row r="43" spans="2:21">
      <c r="B43" s="96"/>
      <c r="U43" s="97"/>
    </row>
    <row r="44" spans="2:21">
      <c r="B44" s="96"/>
      <c r="U44" s="97"/>
    </row>
    <row r="45" spans="2:21">
      <c r="B45" s="96"/>
      <c r="U45" s="97"/>
    </row>
    <row r="46" spans="2:21">
      <c r="B46" s="96"/>
      <c r="C46" s="122"/>
      <c r="D46" s="121"/>
      <c r="E46" s="121"/>
      <c r="F46" s="121"/>
      <c r="G46" s="165"/>
      <c r="U46" s="97"/>
    </row>
    <row r="47" spans="2:21">
      <c r="B47" s="96"/>
      <c r="C47" s="122"/>
      <c r="D47" s="121"/>
      <c r="E47" s="121"/>
      <c r="F47" s="121"/>
      <c r="G47" s="165"/>
      <c r="U47" s="97"/>
    </row>
    <row r="48" spans="2:21">
      <c r="B48" s="96"/>
      <c r="C48" s="122"/>
      <c r="D48" s="121"/>
      <c r="E48" s="121"/>
      <c r="F48" s="121"/>
      <c r="G48" s="165"/>
      <c r="O48" s="4"/>
      <c r="P48" s="4"/>
      <c r="Q48" s="4"/>
      <c r="R48" s="4"/>
      <c r="S48" s="4"/>
      <c r="T48" s="4"/>
      <c r="U48" s="97"/>
    </row>
    <row r="49" spans="2:24">
      <c r="B49" s="96"/>
      <c r="C49" s="122"/>
      <c r="D49" s="121"/>
      <c r="E49" s="121"/>
      <c r="F49" s="121"/>
      <c r="G49" s="165"/>
      <c r="O49" s="4"/>
      <c r="P49" s="4"/>
      <c r="Q49" s="4"/>
      <c r="U49" s="97"/>
    </row>
    <row r="50" spans="2:24">
      <c r="B50" s="96"/>
      <c r="O50" s="4"/>
      <c r="P50" s="4"/>
      <c r="Q50" s="4"/>
      <c r="U50" s="97"/>
    </row>
    <row r="51" spans="2:24">
      <c r="B51" s="96"/>
      <c r="O51" s="4"/>
      <c r="P51" s="4"/>
      <c r="Q51" s="4"/>
      <c r="U51" s="97"/>
    </row>
    <row r="52" spans="2:24">
      <c r="B52" s="96"/>
      <c r="O52" s="4"/>
      <c r="P52" s="4"/>
      <c r="Q52" s="4"/>
      <c r="U52" s="97"/>
    </row>
    <row r="53" spans="2:24">
      <c r="B53" s="96"/>
      <c r="O53" s="4"/>
      <c r="P53" s="4"/>
      <c r="Q53" s="4"/>
      <c r="U53" s="97"/>
      <c r="X53" s="7"/>
    </row>
    <row r="54" spans="2:24">
      <c r="B54" s="96"/>
      <c r="U54" s="97"/>
      <c r="X54" s="8"/>
    </row>
    <row r="55" spans="2:24">
      <c r="B55" s="96"/>
      <c r="U55" s="97"/>
    </row>
    <row r="56" spans="2:24">
      <c r="B56" s="96"/>
      <c r="U56" s="97"/>
    </row>
    <row r="57" spans="2:24">
      <c r="B57" s="96"/>
      <c r="U57" s="97"/>
    </row>
    <row r="58" spans="2:24">
      <c r="B58" s="96"/>
      <c r="U58" s="97"/>
    </row>
    <row r="59" spans="2:24">
      <c r="B59" s="96"/>
      <c r="U59" s="97"/>
    </row>
    <row r="60" spans="2:24">
      <c r="B60" s="96"/>
      <c r="U60" s="97"/>
    </row>
    <row r="61" spans="2:24">
      <c r="B61" s="96"/>
      <c r="U61" s="97"/>
    </row>
    <row r="62" spans="2:24">
      <c r="B62" s="96"/>
      <c r="U62" s="97"/>
    </row>
    <row r="63" spans="2:24">
      <c r="B63" s="96"/>
      <c r="U63" s="97"/>
    </row>
    <row r="64" spans="2:24">
      <c r="B64" s="96"/>
      <c r="U64" s="97"/>
    </row>
    <row r="65" spans="2:21">
      <c r="B65" s="96"/>
      <c r="R65" s="144" t="s">
        <v>31</v>
      </c>
      <c r="S65" t="s" vm="1">
        <v>34</v>
      </c>
      <c r="U65" s="97"/>
    </row>
    <row r="66" spans="2:21">
      <c r="B66" s="96"/>
      <c r="R66" s="144" t="s">
        <v>122</v>
      </c>
      <c r="S66" t="s" vm="2">
        <v>123</v>
      </c>
      <c r="U66" s="97"/>
    </row>
    <row r="67" spans="2:21">
      <c r="B67" s="96"/>
      <c r="U67" s="97"/>
    </row>
    <row r="68" spans="2:21">
      <c r="B68" s="96"/>
      <c r="C68" s="122"/>
      <c r="D68" s="121"/>
      <c r="E68" s="121"/>
      <c r="F68" s="121"/>
      <c r="G68" s="165"/>
      <c r="R68" s="144" t="s">
        <v>34</v>
      </c>
      <c r="S68" t="s">
        <v>29</v>
      </c>
      <c r="T68" t="s">
        <v>69</v>
      </c>
      <c r="U68" s="97"/>
    </row>
    <row r="69" spans="2:21">
      <c r="B69" s="96"/>
      <c r="C69" s="122"/>
      <c r="D69" s="121"/>
      <c r="E69" s="121"/>
      <c r="F69" s="121"/>
      <c r="G69" s="165"/>
      <c r="R69" s="145" t="s">
        <v>36</v>
      </c>
      <c r="S69" s="167"/>
      <c r="T69" s="146"/>
      <c r="U69" s="97"/>
    </row>
    <row r="70" spans="2:21">
      <c r="B70" s="96"/>
      <c r="C70" s="122"/>
      <c r="D70" s="121"/>
      <c r="E70" s="121"/>
      <c r="F70" s="121"/>
      <c r="G70" s="165"/>
      <c r="O70" s="4"/>
      <c r="P70" s="4"/>
      <c r="Q70" s="4"/>
      <c r="R70" s="166" t="s">
        <v>43</v>
      </c>
      <c r="S70" s="167">
        <v>2.3E-2</v>
      </c>
      <c r="T70" s="146">
        <v>3.7078695339353086E-6</v>
      </c>
      <c r="U70" s="97"/>
    </row>
    <row r="71" spans="2:21">
      <c r="B71" s="96"/>
      <c r="C71" s="122"/>
      <c r="D71" s="121"/>
      <c r="E71" s="121"/>
      <c r="F71" s="121"/>
      <c r="G71" s="165"/>
      <c r="O71" s="4"/>
      <c r="P71" s="4"/>
      <c r="Q71" s="4"/>
      <c r="R71" s="145" t="s">
        <v>35</v>
      </c>
      <c r="S71" s="167"/>
      <c r="T71" s="146"/>
      <c r="U71" s="97"/>
    </row>
    <row r="72" spans="2:21">
      <c r="B72" s="96"/>
      <c r="O72" s="4"/>
      <c r="P72" s="4"/>
      <c r="Q72" s="4"/>
      <c r="R72" s="166" t="s">
        <v>39</v>
      </c>
      <c r="S72" s="167">
        <v>50</v>
      </c>
      <c r="T72" s="146">
        <v>8.0605859433376271E-3</v>
      </c>
      <c r="U72" s="97"/>
    </row>
    <row r="73" spans="2:21">
      <c r="B73" s="96"/>
      <c r="O73" s="4"/>
      <c r="P73" s="4"/>
      <c r="Q73" s="4"/>
      <c r="R73" s="145" t="s">
        <v>37</v>
      </c>
      <c r="S73" s="167"/>
      <c r="T73" s="146"/>
      <c r="U73" s="97"/>
    </row>
    <row r="74" spans="2:21">
      <c r="B74" s="96"/>
      <c r="O74" s="4"/>
      <c r="P74" s="4"/>
      <c r="Q74" s="4"/>
      <c r="R74" s="166" t="s">
        <v>143</v>
      </c>
      <c r="S74" s="167">
        <v>5880</v>
      </c>
      <c r="T74" s="146">
        <v>0.947924906936505</v>
      </c>
      <c r="U74" s="97"/>
    </row>
    <row r="75" spans="2:21">
      <c r="B75" s="96"/>
      <c r="O75" s="4"/>
      <c r="P75" s="4"/>
      <c r="Q75" s="4"/>
      <c r="R75" s="166" t="s">
        <v>142</v>
      </c>
      <c r="S75" s="167">
        <v>273</v>
      </c>
      <c r="T75" s="146">
        <v>4.4010799250623442E-2</v>
      </c>
      <c r="U75" s="97"/>
    </row>
    <row r="76" spans="2:21">
      <c r="B76" s="96"/>
      <c r="R76" s="145" t="s">
        <v>27</v>
      </c>
      <c r="S76" s="167">
        <v>6203.0230000000001</v>
      </c>
      <c r="T76" s="146">
        <v>1</v>
      </c>
      <c r="U76" s="97"/>
    </row>
    <row r="77" spans="2:21">
      <c r="B77" s="96"/>
      <c r="U77" s="97"/>
    </row>
    <row r="78" spans="2:21">
      <c r="B78" s="96"/>
      <c r="U78" s="97"/>
    </row>
    <row r="79" spans="2:21">
      <c r="B79" s="96"/>
      <c r="R79" s="144" t="s">
        <v>31</v>
      </c>
      <c r="S79" t="s" vm="3">
        <v>118</v>
      </c>
      <c r="U79" s="97"/>
    </row>
    <row r="80" spans="2:21">
      <c r="B80" s="96"/>
      <c r="R80" s="144" t="s">
        <v>122</v>
      </c>
      <c r="S80" t="s" vm="2">
        <v>123</v>
      </c>
      <c r="U80" s="97"/>
    </row>
    <row r="81" spans="2:21">
      <c r="B81" s="96"/>
      <c r="U81" s="97"/>
    </row>
    <row r="82" spans="2:21">
      <c r="B82" s="96"/>
      <c r="R82" s="144" t="s">
        <v>26</v>
      </c>
      <c r="S82" t="s">
        <v>29</v>
      </c>
      <c r="T82" t="s">
        <v>69</v>
      </c>
      <c r="U82" s="97"/>
    </row>
    <row r="83" spans="2:21">
      <c r="B83" s="96"/>
      <c r="R83" s="145" t="s">
        <v>38</v>
      </c>
      <c r="S83" s="167"/>
      <c r="T83" s="146"/>
      <c r="U83" s="97"/>
    </row>
    <row r="84" spans="2:21">
      <c r="B84" s="96"/>
      <c r="R84" s="166" t="s">
        <v>51</v>
      </c>
      <c r="S84" s="167">
        <v>-558.34299999999996</v>
      </c>
      <c r="T84" s="146">
        <v>8.7267260292578336E-2</v>
      </c>
      <c r="U84" s="97"/>
    </row>
    <row r="85" spans="2:21">
      <c r="B85" s="96"/>
      <c r="R85" s="166" t="s">
        <v>50</v>
      </c>
      <c r="S85" s="167">
        <v>-609.41000000000008</v>
      </c>
      <c r="T85" s="146">
        <v>9.5248872279047422E-2</v>
      </c>
      <c r="U85" s="97"/>
    </row>
    <row r="86" spans="2:21">
      <c r="B86" s="96"/>
      <c r="R86" s="166" t="s">
        <v>52</v>
      </c>
      <c r="S86" s="167">
        <v>-100</v>
      </c>
      <c r="T86" s="146">
        <v>1.5629686463800627E-2</v>
      </c>
      <c r="U86" s="97"/>
    </row>
    <row r="87" spans="2:21">
      <c r="B87" s="96"/>
      <c r="R87" s="166" t="s">
        <v>48</v>
      </c>
      <c r="S87" s="167">
        <v>-2843</v>
      </c>
      <c r="T87" s="146">
        <v>0.44435198616585186</v>
      </c>
      <c r="U87" s="97"/>
    </row>
    <row r="88" spans="2:21">
      <c r="B88" s="96"/>
      <c r="R88" s="166" t="s">
        <v>49</v>
      </c>
      <c r="S88" s="167">
        <v>-317.327</v>
      </c>
      <c r="T88" s="146">
        <v>4.9597215164984616E-2</v>
      </c>
      <c r="U88" s="97"/>
    </row>
    <row r="89" spans="2:21">
      <c r="B89" s="96"/>
      <c r="R89" s="145" t="s">
        <v>53</v>
      </c>
      <c r="S89" s="167"/>
      <c r="T89" s="146"/>
      <c r="U89" s="97"/>
    </row>
    <row r="90" spans="2:21">
      <c r="B90" s="96"/>
      <c r="R90" s="166" t="s">
        <v>54</v>
      </c>
      <c r="S90" s="167">
        <v>-365</v>
      </c>
      <c r="T90" s="146">
        <v>5.7048355592872288E-2</v>
      </c>
      <c r="U90" s="97"/>
    </row>
    <row r="91" spans="2:21">
      <c r="B91" s="96"/>
      <c r="R91" s="166" t="s">
        <v>55</v>
      </c>
      <c r="S91" s="167">
        <v>-44.001000000000005</v>
      </c>
      <c r="T91" s="146">
        <v>6.877218340936915E-3</v>
      </c>
      <c r="U91" s="97"/>
    </row>
    <row r="92" spans="2:21">
      <c r="B92" s="96"/>
      <c r="R92" s="166" t="s">
        <v>57</v>
      </c>
      <c r="S92" s="167">
        <v>-1561</v>
      </c>
      <c r="T92" s="146">
        <v>0.24397940569992779</v>
      </c>
      <c r="U92" s="97"/>
    </row>
    <row r="93" spans="2:21">
      <c r="B93" s="96"/>
      <c r="R93" s="145" t="s">
        <v>27</v>
      </c>
      <c r="S93" s="167">
        <v>-6398.081000000001</v>
      </c>
      <c r="T93" s="146">
        <v>1</v>
      </c>
      <c r="U93" s="97"/>
    </row>
    <row r="94" spans="2:21">
      <c r="B94" s="126"/>
      <c r="C94" s="127"/>
      <c r="D94" s="127"/>
      <c r="E94" s="127"/>
      <c r="F94" s="98"/>
      <c r="G94" s="98"/>
      <c r="H94" s="98"/>
      <c r="I94" s="98"/>
      <c r="J94" s="98"/>
      <c r="K94" s="98"/>
      <c r="L94" s="98"/>
      <c r="M94" s="98"/>
      <c r="N94" s="127"/>
      <c r="O94" s="127"/>
      <c r="P94" s="127"/>
      <c r="Q94" s="98"/>
      <c r="R94" s="98"/>
      <c r="S94" s="98"/>
      <c r="T94" s="98"/>
      <c r="U94" s="128"/>
    </row>
    <row r="99" spans="15:20">
      <c r="O99" s="5"/>
      <c r="P99" s="5"/>
      <c r="Q99" s="5"/>
      <c r="R99" s="5"/>
      <c r="S99" s="5"/>
      <c r="T99" s="5"/>
    </row>
    <row r="100" spans="15:20">
      <c r="O100" s="5"/>
      <c r="P100" s="5"/>
      <c r="Q100" s="5"/>
      <c r="R100" s="5"/>
      <c r="S100" s="5"/>
      <c r="T100" s="5"/>
    </row>
  </sheetData>
  <dataConsolidate link="1"/>
  <mergeCells count="4">
    <mergeCell ref="J5:O5"/>
    <mergeCell ref="B5:H5"/>
    <mergeCell ref="B2:H3"/>
    <mergeCell ref="B26:U26"/>
  </mergeCells>
  <conditionalFormatting sqref="L15">
    <cfRule type="expression" dxfId="4" priority="12">
      <formula>$L15&lt;=0</formula>
    </cfRule>
  </conditionalFormatting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D1206-2BBA-47C6-BBE5-53607D4F9C49}">
  <sheetPr codeName="Sheet2"/>
  <dimension ref="B2:AF1226"/>
  <sheetViews>
    <sheetView zoomScale="145" zoomScaleNormal="145" workbookViewId="0">
      <selection activeCell="B2" sqref="B2:D3"/>
    </sheetView>
  </sheetViews>
  <sheetFormatPr defaultColWidth="9.09765625" defaultRowHeight="14.25"/>
  <cols>
    <col min="1" max="1" width="3.69921875" style="4" customWidth="1"/>
    <col min="2" max="2" width="16.8984375" style="4" bestFit="1" customWidth="1"/>
    <col min="3" max="3" width="14.8984375" style="4" customWidth="1"/>
    <col min="4" max="4" width="16.8984375" style="4" bestFit="1" customWidth="1"/>
    <col min="5" max="5" width="16.19921875" style="4" customWidth="1"/>
    <col min="6" max="6" width="17.59765625" style="4" bestFit="1" customWidth="1"/>
    <col min="7" max="7" width="20.59765625" style="4" customWidth="1"/>
    <col min="8" max="8" width="22.09765625" style="4" customWidth="1"/>
    <col min="9" max="9" width="15.59765625" style="4" customWidth="1"/>
    <col min="10" max="10" width="9.59765625" style="4" customWidth="1"/>
    <col min="11" max="11" width="9.296875" style="4" customWidth="1"/>
    <col min="12" max="12" width="11" style="4" customWidth="1"/>
    <col min="13" max="13" width="8.69921875" style="4" customWidth="1"/>
    <col min="14" max="14" width="14.69921875" style="4" customWidth="1"/>
    <col min="15" max="15" width="13.19921875" style="4" customWidth="1"/>
    <col min="16" max="16" width="10" style="4" customWidth="1"/>
    <col min="17" max="17" width="9.19921875" style="4" customWidth="1"/>
    <col min="18" max="18" width="4.69921875" style="4" customWidth="1"/>
    <col min="19" max="20" width="5" style="4" customWidth="1"/>
    <col min="21" max="16384" width="9.09765625" style="4"/>
  </cols>
  <sheetData>
    <row r="2" spans="2:32" ht="14.25" customHeight="1">
      <c r="B2" s="199" t="s">
        <v>70</v>
      </c>
      <c r="C2" s="199"/>
      <c r="D2" s="199"/>
      <c r="E2" s="10"/>
      <c r="F2" s="10"/>
      <c r="G2" s="10"/>
      <c r="H2" s="10"/>
      <c r="I2" s="10"/>
    </row>
    <row r="3" spans="2:32" ht="14.25" customHeight="1">
      <c r="B3" s="199"/>
      <c r="C3" s="199"/>
      <c r="D3" s="199"/>
      <c r="E3" s="10"/>
      <c r="F3" s="10"/>
      <c r="G3" s="10"/>
      <c r="H3" s="10"/>
      <c r="I3" s="10"/>
    </row>
    <row r="4" spans="2:32" ht="14.25" customHeight="1">
      <c r="B4" s="35"/>
      <c r="C4" s="35"/>
      <c r="D4" s="35"/>
      <c r="E4" s="10"/>
      <c r="F4" s="10"/>
      <c r="G4" s="10"/>
      <c r="H4" s="10"/>
      <c r="I4" s="10"/>
    </row>
    <row r="5" spans="2:32" ht="18" customHeight="1">
      <c r="B5" s="13" t="s">
        <v>67</v>
      </c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</row>
    <row r="6" spans="2:32" ht="19.5">
      <c r="B6" s="31" t="s">
        <v>30</v>
      </c>
      <c r="C6" s="32" t="s">
        <v>68</v>
      </c>
      <c r="D6" s="31" t="s">
        <v>69</v>
      </c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</row>
    <row r="7" spans="2:32" ht="18">
      <c r="B7" s="52" t="s">
        <v>95</v>
      </c>
      <c r="C7" s="79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94.000333333333629</v>
      </c>
      <c r="D7" s="187">
        <f>wallets[[#This Row],[balance]]/SUM(wallets[balance])</f>
        <v>2.4057542708171901E-2</v>
      </c>
    </row>
    <row r="8" spans="2:32" ht="18">
      <c r="B8" s="52" t="s">
        <v>147</v>
      </c>
      <c r="C8" s="79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1235.3630000000067</v>
      </c>
      <c r="D8" s="53">
        <f>wallets[[#This Row],[balance]]/SUM(wallets[balance])</f>
        <v>0.31616694408100071</v>
      </c>
    </row>
    <row r="9" spans="2:32" ht="18">
      <c r="B9" s="52" t="s">
        <v>144</v>
      </c>
      <c r="C9" s="179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2446</v>
      </c>
      <c r="D9" s="53">
        <f>wallets[[#This Row],[balance]]/SUM(wallets[balance])</f>
        <v>0.6260057531447224</v>
      </c>
      <c r="F9" s="8"/>
    </row>
    <row r="10" spans="2:32" ht="18">
      <c r="B10" s="52" t="s">
        <v>148</v>
      </c>
      <c r="C10" s="79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0</v>
      </c>
      <c r="D10" s="53">
        <f>wallets[[#This Row],[balance]]/SUM(wallets[balance])</f>
        <v>0</v>
      </c>
    </row>
    <row r="11" spans="2:32" ht="18">
      <c r="B11" s="52" t="s">
        <v>149</v>
      </c>
      <c r="C11" s="79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0</v>
      </c>
      <c r="D11" s="53">
        <f>wallets[[#This Row],[balance]]/SUM(wallets[balance])</f>
        <v>0</v>
      </c>
    </row>
    <row r="12" spans="2:32" ht="18">
      <c r="B12" s="52" t="s">
        <v>150</v>
      </c>
      <c r="C12" s="79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131.94899999999998</v>
      </c>
      <c r="D12" s="187">
        <f>wallets[[#This Row],[balance]]/SUM(wallets[balance])</f>
        <v>3.3769760066105055E-2</v>
      </c>
    </row>
    <row r="13" spans="2:32" ht="19.5">
      <c r="B13" s="54" t="s">
        <v>1</v>
      </c>
      <c r="C13" s="45">
        <f>SUM(wallets[balance])</f>
        <v>3907.3123333333401</v>
      </c>
      <c r="D13" s="46">
        <f>SUBTOTAL(109,wallets[rate])</f>
        <v>1</v>
      </c>
      <c r="F13" s="52"/>
    </row>
    <row r="14" spans="2:32" ht="18">
      <c r="F14" s="52"/>
    </row>
    <row r="15" spans="2:32" ht="16.5">
      <c r="B15" s="13" t="s">
        <v>66</v>
      </c>
    </row>
    <row r="16" spans="2:32" ht="19.5">
      <c r="B16" s="31" t="s">
        <v>28</v>
      </c>
      <c r="C16" s="31" t="s">
        <v>29</v>
      </c>
      <c r="D16" s="31" t="s">
        <v>30</v>
      </c>
      <c r="E16" s="31" t="s">
        <v>31</v>
      </c>
      <c r="F16" s="31" t="s">
        <v>33</v>
      </c>
      <c r="G16" s="31" t="s">
        <v>32</v>
      </c>
    </row>
    <row r="17" spans="2:8" ht="18" hidden="1">
      <c r="B17" s="55">
        <v>45751</v>
      </c>
      <c r="C17" s="79">
        <v>-160</v>
      </c>
      <c r="D17" s="14" t="s">
        <v>147</v>
      </c>
      <c r="E17" s="5" t="s">
        <v>118</v>
      </c>
      <c r="F17" s="5" t="s">
        <v>38</v>
      </c>
      <c r="G17" s="5" t="s">
        <v>48</v>
      </c>
    </row>
    <row r="18" spans="2:8" ht="18" hidden="1">
      <c r="B18" s="55">
        <v>45755</v>
      </c>
      <c r="C18" s="79">
        <v>-3</v>
      </c>
      <c r="D18" s="14" t="s">
        <v>95</v>
      </c>
      <c r="E18" s="5" t="s">
        <v>118</v>
      </c>
      <c r="F18" s="5" t="s">
        <v>38</v>
      </c>
      <c r="G18" s="5" t="s">
        <v>51</v>
      </c>
    </row>
    <row r="19" spans="2:8" ht="18" hidden="1">
      <c r="B19" s="55">
        <v>45755</v>
      </c>
      <c r="C19" s="79">
        <v>-200</v>
      </c>
      <c r="D19" s="14" t="s">
        <v>148</v>
      </c>
      <c r="E19" s="5" t="s">
        <v>118</v>
      </c>
      <c r="F19" s="5" t="s">
        <v>63</v>
      </c>
      <c r="G19" s="5" t="s">
        <v>65</v>
      </c>
    </row>
    <row r="20" spans="2:8" ht="18" hidden="1">
      <c r="B20" s="55">
        <v>45755</v>
      </c>
      <c r="C20" s="79">
        <v>-10</v>
      </c>
      <c r="D20" s="14" t="s">
        <v>147</v>
      </c>
      <c r="E20" s="5" t="s">
        <v>118</v>
      </c>
      <c r="F20" s="5" t="s">
        <v>38</v>
      </c>
      <c r="G20" s="5" t="s">
        <v>48</v>
      </c>
    </row>
    <row r="21" spans="2:8" ht="18" hidden="1">
      <c r="B21" s="55">
        <v>45756</v>
      </c>
      <c r="C21" s="79">
        <v>-3</v>
      </c>
      <c r="D21" s="14" t="s">
        <v>95</v>
      </c>
      <c r="E21" s="5" t="s">
        <v>118</v>
      </c>
      <c r="F21" s="5" t="s">
        <v>38</v>
      </c>
      <c r="G21" s="5" t="s">
        <v>51</v>
      </c>
    </row>
    <row r="22" spans="2:8" ht="18" hidden="1">
      <c r="B22" s="55">
        <v>45756</v>
      </c>
      <c r="C22" s="79">
        <v>-13</v>
      </c>
      <c r="D22" s="14" t="s">
        <v>147</v>
      </c>
      <c r="E22" s="5" t="s">
        <v>118</v>
      </c>
      <c r="F22" s="5" t="s">
        <v>53</v>
      </c>
      <c r="G22" s="5" t="s">
        <v>56</v>
      </c>
    </row>
    <row r="23" spans="2:8" ht="18" hidden="1">
      <c r="B23" s="55">
        <v>45756</v>
      </c>
      <c r="C23" s="79">
        <v>-70</v>
      </c>
      <c r="D23" s="14" t="s">
        <v>147</v>
      </c>
      <c r="E23" s="5" t="s">
        <v>118</v>
      </c>
      <c r="F23" s="5" t="s">
        <v>38</v>
      </c>
      <c r="G23" s="5" t="s">
        <v>50</v>
      </c>
    </row>
    <row r="24" spans="2:8" ht="18" hidden="1">
      <c r="B24" s="55">
        <v>45757</v>
      </c>
      <c r="C24" s="79">
        <v>-20</v>
      </c>
      <c r="D24" s="14" t="s">
        <v>147</v>
      </c>
      <c r="E24" s="5" t="s">
        <v>118</v>
      </c>
      <c r="F24" s="5" t="s">
        <v>38</v>
      </c>
      <c r="G24" s="5" t="s">
        <v>50</v>
      </c>
      <c r="H24" s="1"/>
    </row>
    <row r="25" spans="2:8" ht="18" hidden="1">
      <c r="B25" s="55">
        <v>45757</v>
      </c>
      <c r="C25" s="79">
        <v>-60</v>
      </c>
      <c r="D25" s="14" t="s">
        <v>147</v>
      </c>
      <c r="E25" s="5" t="s">
        <v>118</v>
      </c>
      <c r="F25" s="5" t="s">
        <v>38</v>
      </c>
      <c r="G25" s="5" t="s">
        <v>50</v>
      </c>
    </row>
    <row r="26" spans="2:8" ht="18" hidden="1">
      <c r="B26" s="55">
        <v>45757</v>
      </c>
      <c r="C26" s="79">
        <v>-13</v>
      </c>
      <c r="D26" s="14" t="s">
        <v>147</v>
      </c>
      <c r="E26" s="5" t="s">
        <v>118</v>
      </c>
      <c r="F26" s="5" t="s">
        <v>53</v>
      </c>
      <c r="G26" s="5" t="s">
        <v>56</v>
      </c>
    </row>
    <row r="27" spans="2:8" ht="18" hidden="1">
      <c r="B27" s="55">
        <v>45761</v>
      </c>
      <c r="C27" s="79">
        <v>-200</v>
      </c>
      <c r="D27" s="14" t="s">
        <v>147</v>
      </c>
      <c r="E27" s="5" t="s">
        <v>118</v>
      </c>
      <c r="F27" s="5" t="s">
        <v>53</v>
      </c>
      <c r="G27" s="5" t="s">
        <v>56</v>
      </c>
    </row>
    <row r="28" spans="2:8" ht="18" hidden="1">
      <c r="B28" s="55">
        <v>45762</v>
      </c>
      <c r="C28" s="79">
        <v>-8</v>
      </c>
      <c r="D28" s="14" t="s">
        <v>95</v>
      </c>
      <c r="E28" s="5" t="s">
        <v>118</v>
      </c>
      <c r="F28" s="5" t="s">
        <v>38</v>
      </c>
      <c r="G28" s="5" t="s">
        <v>51</v>
      </c>
    </row>
    <row r="29" spans="2:8" ht="18" hidden="1">
      <c r="B29" s="55">
        <v>45762</v>
      </c>
      <c r="C29" s="79">
        <v>-30</v>
      </c>
      <c r="D29" s="14" t="s">
        <v>147</v>
      </c>
      <c r="E29" s="5" t="s">
        <v>118</v>
      </c>
      <c r="F29" s="5" t="s">
        <v>38</v>
      </c>
      <c r="G29" s="5" t="s">
        <v>50</v>
      </c>
    </row>
    <row r="30" spans="2:8" ht="18" hidden="1">
      <c r="B30" s="55">
        <v>45762</v>
      </c>
      <c r="C30" s="79">
        <v>-35</v>
      </c>
      <c r="D30" s="14" t="s">
        <v>147</v>
      </c>
      <c r="E30" s="5" t="s">
        <v>118</v>
      </c>
      <c r="F30" s="5" t="s">
        <v>53</v>
      </c>
      <c r="G30" s="5" t="s">
        <v>56</v>
      </c>
    </row>
    <row r="31" spans="2:8" ht="18" hidden="1">
      <c r="B31" s="55">
        <v>45762</v>
      </c>
      <c r="C31" s="79">
        <v>-15</v>
      </c>
      <c r="D31" s="14" t="s">
        <v>147</v>
      </c>
      <c r="E31" s="5" t="s">
        <v>118</v>
      </c>
      <c r="F31" s="5" t="s">
        <v>53</v>
      </c>
      <c r="G31" s="5" t="s">
        <v>55</v>
      </c>
    </row>
    <row r="32" spans="2:8" ht="18" hidden="1">
      <c r="B32" s="55">
        <v>45761</v>
      </c>
      <c r="C32" s="79">
        <v>-60</v>
      </c>
      <c r="D32" s="14" t="s">
        <v>147</v>
      </c>
      <c r="E32" s="5" t="s">
        <v>118</v>
      </c>
      <c r="F32" s="5" t="s">
        <v>38</v>
      </c>
      <c r="G32" s="5" t="s">
        <v>51</v>
      </c>
    </row>
    <row r="33" spans="2:7" ht="18" hidden="1">
      <c r="B33" s="55">
        <v>45762</v>
      </c>
      <c r="C33" s="79">
        <v>-3</v>
      </c>
      <c r="D33" s="14" t="s">
        <v>95</v>
      </c>
      <c r="E33" s="5" t="s">
        <v>118</v>
      </c>
      <c r="F33" s="5" t="s">
        <v>38</v>
      </c>
      <c r="G33" s="5" t="s">
        <v>51</v>
      </c>
    </row>
    <row r="34" spans="2:7" ht="18" hidden="1">
      <c r="B34" s="55">
        <v>45762</v>
      </c>
      <c r="C34" s="79">
        <v>-5</v>
      </c>
      <c r="D34" s="14" t="s">
        <v>95</v>
      </c>
      <c r="E34" s="5" t="s">
        <v>118</v>
      </c>
      <c r="F34" s="5" t="s">
        <v>38</v>
      </c>
      <c r="G34" s="5" t="s">
        <v>50</v>
      </c>
    </row>
    <row r="35" spans="2:7" ht="18" hidden="1">
      <c r="B35" s="55">
        <v>45760</v>
      </c>
      <c r="C35" s="79">
        <v>-30</v>
      </c>
      <c r="D35" s="14" t="s">
        <v>148</v>
      </c>
      <c r="E35" s="5" t="s">
        <v>118</v>
      </c>
      <c r="F35" s="5" t="s">
        <v>38</v>
      </c>
      <c r="G35" s="5" t="s">
        <v>50</v>
      </c>
    </row>
    <row r="36" spans="2:7" ht="18" hidden="1">
      <c r="B36" s="55">
        <v>45760</v>
      </c>
      <c r="C36" s="79">
        <v>-20</v>
      </c>
      <c r="D36" s="14" t="s">
        <v>148</v>
      </c>
      <c r="E36" s="5" t="s">
        <v>118</v>
      </c>
      <c r="F36" s="5" t="s">
        <v>53</v>
      </c>
      <c r="G36" s="5" t="s">
        <v>56</v>
      </c>
    </row>
    <row r="37" spans="2:7" ht="18" hidden="1">
      <c r="B37" s="55">
        <v>45763</v>
      </c>
      <c r="C37" s="79">
        <v>-3</v>
      </c>
      <c r="D37" s="14" t="s">
        <v>95</v>
      </c>
      <c r="E37" s="5" t="s">
        <v>118</v>
      </c>
      <c r="F37" s="5" t="s">
        <v>38</v>
      </c>
      <c r="G37" s="5" t="s">
        <v>51</v>
      </c>
    </row>
    <row r="38" spans="2:7" ht="18" hidden="1">
      <c r="B38" s="55">
        <v>45763</v>
      </c>
      <c r="C38" s="79">
        <v>-45</v>
      </c>
      <c r="D38" s="14" t="s">
        <v>148</v>
      </c>
      <c r="E38" s="5" t="s">
        <v>118</v>
      </c>
      <c r="F38" s="5" t="s">
        <v>53</v>
      </c>
      <c r="G38" s="5" t="s">
        <v>55</v>
      </c>
    </row>
    <row r="39" spans="2:7" ht="18" hidden="1">
      <c r="B39" s="55">
        <v>45765</v>
      </c>
      <c r="C39" s="79">
        <v>-10</v>
      </c>
      <c r="D39" s="14" t="s">
        <v>147</v>
      </c>
      <c r="E39" s="5" t="s">
        <v>118</v>
      </c>
      <c r="F39" s="5" t="s">
        <v>53</v>
      </c>
      <c r="G39" s="5" t="s">
        <v>55</v>
      </c>
    </row>
    <row r="40" spans="2:7" ht="18" hidden="1">
      <c r="B40" s="55">
        <v>45766</v>
      </c>
      <c r="C40" s="79">
        <v>-3</v>
      </c>
      <c r="D40" s="14" t="s">
        <v>95</v>
      </c>
      <c r="E40" s="5" t="s">
        <v>118</v>
      </c>
      <c r="F40" s="5" t="s">
        <v>38</v>
      </c>
      <c r="G40" s="5" t="s">
        <v>51</v>
      </c>
    </row>
    <row r="41" spans="2:7" ht="18" hidden="1">
      <c r="B41" s="55">
        <v>45766</v>
      </c>
      <c r="C41" s="79">
        <v>2000</v>
      </c>
      <c r="D41" s="14" t="s">
        <v>147</v>
      </c>
      <c r="E41" s="5" t="s">
        <v>34</v>
      </c>
      <c r="F41" s="5" t="s">
        <v>35</v>
      </c>
      <c r="G41" s="5" t="s">
        <v>39</v>
      </c>
    </row>
    <row r="42" spans="2:7" ht="18" hidden="1">
      <c r="B42" s="55">
        <v>45767</v>
      </c>
      <c r="C42" s="79">
        <v>-45</v>
      </c>
      <c r="D42" s="14" t="s">
        <v>147</v>
      </c>
      <c r="E42" s="5" t="s">
        <v>118</v>
      </c>
      <c r="F42" s="5" t="s">
        <v>53</v>
      </c>
      <c r="G42" s="5" t="s">
        <v>56</v>
      </c>
    </row>
    <row r="43" spans="2:7" ht="18" hidden="1">
      <c r="B43" s="55">
        <v>45767</v>
      </c>
      <c r="C43" s="79">
        <v>5.2999999999999999E-2</v>
      </c>
      <c r="D43" s="14" t="s">
        <v>147</v>
      </c>
      <c r="E43" s="5" t="s">
        <v>34</v>
      </c>
      <c r="F43" s="5" t="s">
        <v>36</v>
      </c>
      <c r="G43" s="5" t="s">
        <v>42</v>
      </c>
    </row>
    <row r="44" spans="2:7" ht="18" hidden="1">
      <c r="B44" s="55">
        <v>45767</v>
      </c>
      <c r="C44" s="79">
        <v>-72</v>
      </c>
      <c r="D44" s="14" t="s">
        <v>147</v>
      </c>
      <c r="E44" s="5" t="s">
        <v>118</v>
      </c>
      <c r="F44" s="5" t="s">
        <v>38</v>
      </c>
      <c r="G44" s="5" t="s">
        <v>48</v>
      </c>
    </row>
    <row r="45" spans="2:7" ht="18" hidden="1">
      <c r="B45" s="55">
        <v>45767</v>
      </c>
      <c r="C45" s="79">
        <v>-55.1</v>
      </c>
      <c r="D45" s="14" t="s">
        <v>147</v>
      </c>
      <c r="E45" s="5" t="s">
        <v>118</v>
      </c>
      <c r="F45" s="5" t="s">
        <v>38</v>
      </c>
      <c r="G45" s="5" t="s">
        <v>50</v>
      </c>
    </row>
    <row r="46" spans="2:7" ht="18" hidden="1">
      <c r="B46" s="55">
        <v>45768</v>
      </c>
      <c r="C46" s="79">
        <v>-55</v>
      </c>
      <c r="D46" s="14" t="s">
        <v>147</v>
      </c>
      <c r="E46" s="5" t="s">
        <v>118</v>
      </c>
      <c r="F46" s="5" t="s">
        <v>53</v>
      </c>
      <c r="G46" s="5" t="s">
        <v>55</v>
      </c>
    </row>
    <row r="47" spans="2:7" ht="18" hidden="1">
      <c r="B47" s="55">
        <v>45768</v>
      </c>
      <c r="C47" s="79">
        <v>-2</v>
      </c>
      <c r="D47" s="14" t="s">
        <v>95</v>
      </c>
      <c r="E47" s="5" t="s">
        <v>118</v>
      </c>
      <c r="F47" s="5" t="s">
        <v>38</v>
      </c>
      <c r="G47" s="5" t="s">
        <v>51</v>
      </c>
    </row>
    <row r="48" spans="2:7" ht="18" hidden="1">
      <c r="B48" s="55">
        <v>45769</v>
      </c>
      <c r="C48" s="79">
        <v>-44</v>
      </c>
      <c r="D48" s="14" t="s">
        <v>147</v>
      </c>
      <c r="E48" s="5" t="s">
        <v>118</v>
      </c>
      <c r="F48" s="5" t="s">
        <v>38</v>
      </c>
      <c r="G48" s="5" t="s">
        <v>48</v>
      </c>
    </row>
    <row r="49" spans="2:7" ht="18" hidden="1">
      <c r="B49" s="55">
        <v>45769</v>
      </c>
      <c r="C49" s="79">
        <v>-1</v>
      </c>
      <c r="D49" s="14" t="s">
        <v>95</v>
      </c>
      <c r="E49" s="5" t="s">
        <v>118</v>
      </c>
      <c r="F49" s="5" t="s">
        <v>38</v>
      </c>
      <c r="G49" s="5" t="s">
        <v>51</v>
      </c>
    </row>
    <row r="50" spans="2:7" ht="18" hidden="1">
      <c r="B50" s="55">
        <v>45769</v>
      </c>
      <c r="C50" s="79">
        <v>-2</v>
      </c>
      <c r="D50" s="14" t="s">
        <v>95</v>
      </c>
      <c r="E50" s="5" t="s">
        <v>118</v>
      </c>
      <c r="F50" s="5" t="s">
        <v>53</v>
      </c>
      <c r="G50" s="5" t="s">
        <v>55</v>
      </c>
    </row>
    <row r="51" spans="2:7" ht="18" hidden="1">
      <c r="B51" s="55">
        <v>45770</v>
      </c>
      <c r="C51" s="79">
        <v>-8</v>
      </c>
      <c r="D51" s="14" t="s">
        <v>95</v>
      </c>
      <c r="E51" s="5" t="s">
        <v>118</v>
      </c>
      <c r="F51" s="5" t="s">
        <v>38</v>
      </c>
      <c r="G51" s="5" t="s">
        <v>51</v>
      </c>
    </row>
    <row r="52" spans="2:7" ht="18" hidden="1">
      <c r="B52" s="55">
        <v>45772</v>
      </c>
      <c r="C52" s="79">
        <v>-63.19</v>
      </c>
      <c r="D52" s="14" t="s">
        <v>147</v>
      </c>
      <c r="E52" s="5" t="s">
        <v>118</v>
      </c>
      <c r="F52" s="5" t="s">
        <v>38</v>
      </c>
      <c r="G52" s="5" t="s">
        <v>50</v>
      </c>
    </row>
    <row r="53" spans="2:7" ht="18" hidden="1">
      <c r="B53" s="55">
        <v>45772</v>
      </c>
      <c r="C53" s="79">
        <v>-250</v>
      </c>
      <c r="D53" s="14" t="s">
        <v>147</v>
      </c>
      <c r="E53" s="5" t="s">
        <v>118</v>
      </c>
      <c r="F53" s="5" t="s">
        <v>38</v>
      </c>
      <c r="G53" s="5" t="s">
        <v>51</v>
      </c>
    </row>
    <row r="54" spans="2:7" ht="18" hidden="1">
      <c r="B54" s="55">
        <v>45772</v>
      </c>
      <c r="C54" s="79">
        <v>1500</v>
      </c>
      <c r="D54" s="14" t="s">
        <v>147</v>
      </c>
      <c r="E54" s="5" t="s">
        <v>34</v>
      </c>
      <c r="F54" s="5" t="s">
        <v>35</v>
      </c>
      <c r="G54" s="5" t="s">
        <v>39</v>
      </c>
    </row>
    <row r="55" spans="2:7" ht="18" hidden="1">
      <c r="B55" s="55">
        <v>45773</v>
      </c>
      <c r="C55" s="79">
        <v>-19</v>
      </c>
      <c r="D55" s="14" t="s">
        <v>147</v>
      </c>
      <c r="E55" s="5" t="s">
        <v>118</v>
      </c>
      <c r="F55" s="5" t="s">
        <v>53</v>
      </c>
      <c r="G55" s="5" t="s">
        <v>56</v>
      </c>
    </row>
    <row r="56" spans="2:7" ht="18" hidden="1">
      <c r="B56" s="55">
        <v>45774</v>
      </c>
      <c r="C56" s="79">
        <v>-20</v>
      </c>
      <c r="D56" s="14" t="s">
        <v>147</v>
      </c>
      <c r="E56" s="5" t="s">
        <v>118</v>
      </c>
      <c r="F56" s="5" t="s">
        <v>38</v>
      </c>
      <c r="G56" s="5" t="s">
        <v>50</v>
      </c>
    </row>
    <row r="57" spans="2:7" ht="18" hidden="1">
      <c r="B57" s="55">
        <v>45774</v>
      </c>
      <c r="C57" s="79">
        <v>-21</v>
      </c>
      <c r="D57" s="14" t="s">
        <v>147</v>
      </c>
      <c r="E57" s="5" t="s">
        <v>118</v>
      </c>
      <c r="F57" s="5" t="s">
        <v>38</v>
      </c>
      <c r="G57" s="5" t="s">
        <v>50</v>
      </c>
    </row>
    <row r="58" spans="2:7" ht="18" hidden="1">
      <c r="B58" s="55">
        <v>45774</v>
      </c>
      <c r="C58" s="79">
        <v>-40</v>
      </c>
      <c r="D58" s="14" t="s">
        <v>147</v>
      </c>
      <c r="E58" s="5" t="s">
        <v>118</v>
      </c>
      <c r="F58" s="5" t="s">
        <v>38</v>
      </c>
      <c r="G58" s="5" t="s">
        <v>50</v>
      </c>
    </row>
    <row r="59" spans="2:7" ht="18" hidden="1">
      <c r="B59" s="55">
        <v>45774</v>
      </c>
      <c r="C59" s="79">
        <v>-20</v>
      </c>
      <c r="D59" s="14" t="s">
        <v>147</v>
      </c>
      <c r="E59" s="5" t="s">
        <v>118</v>
      </c>
      <c r="F59" s="5" t="s">
        <v>53</v>
      </c>
      <c r="G59" s="5" t="s">
        <v>56</v>
      </c>
    </row>
    <row r="60" spans="2:7" ht="18" hidden="1">
      <c r="B60" s="55">
        <v>45774</v>
      </c>
      <c r="C60" s="79">
        <v>-20</v>
      </c>
      <c r="D60" s="14" t="s">
        <v>147</v>
      </c>
      <c r="E60" s="5" t="s">
        <v>118</v>
      </c>
      <c r="F60" s="5" t="s">
        <v>53</v>
      </c>
      <c r="G60" s="5" t="s">
        <v>56</v>
      </c>
    </row>
    <row r="61" spans="2:7" ht="18" hidden="1">
      <c r="B61" s="55">
        <v>45774</v>
      </c>
      <c r="C61" s="79">
        <v>-50.036999999999999</v>
      </c>
      <c r="D61" s="14" t="s">
        <v>147</v>
      </c>
      <c r="E61" s="5" t="s">
        <v>118</v>
      </c>
      <c r="F61" s="5" t="s">
        <v>38</v>
      </c>
      <c r="G61" s="5" t="s">
        <v>50</v>
      </c>
    </row>
    <row r="62" spans="2:7" ht="18" hidden="1">
      <c r="B62" s="55">
        <v>45775</v>
      </c>
      <c r="C62" s="79">
        <v>-20</v>
      </c>
      <c r="D62" s="14" t="s">
        <v>147</v>
      </c>
      <c r="E62" s="5" t="s">
        <v>118</v>
      </c>
      <c r="F62" s="5" t="s">
        <v>38</v>
      </c>
      <c r="G62" s="5" t="s">
        <v>50</v>
      </c>
    </row>
    <row r="63" spans="2:7" ht="18" hidden="1">
      <c r="B63" s="55">
        <v>45776</v>
      </c>
      <c r="C63" s="79">
        <v>-20</v>
      </c>
      <c r="D63" s="14" t="s">
        <v>147</v>
      </c>
      <c r="E63" s="5" t="s">
        <v>118</v>
      </c>
      <c r="F63" s="5" t="s">
        <v>38</v>
      </c>
      <c r="G63" s="5" t="s">
        <v>50</v>
      </c>
    </row>
    <row r="64" spans="2:7" ht="18" hidden="1">
      <c r="B64" s="55">
        <v>45776</v>
      </c>
      <c r="C64" s="79">
        <v>-320</v>
      </c>
      <c r="D64" s="14" t="s">
        <v>148</v>
      </c>
      <c r="E64" s="5" t="s">
        <v>118</v>
      </c>
      <c r="F64" s="5" t="s">
        <v>53</v>
      </c>
      <c r="G64" s="5" t="s">
        <v>55</v>
      </c>
    </row>
    <row r="65" spans="2:7" ht="18" hidden="1">
      <c r="B65" s="55">
        <v>45776</v>
      </c>
      <c r="C65" s="79">
        <v>2000</v>
      </c>
      <c r="D65" s="14" t="s">
        <v>147</v>
      </c>
      <c r="E65" s="5" t="s">
        <v>34</v>
      </c>
      <c r="F65" s="5" t="s">
        <v>35</v>
      </c>
      <c r="G65" s="5" t="s">
        <v>39</v>
      </c>
    </row>
    <row r="66" spans="2:7" ht="18" hidden="1">
      <c r="B66" s="55">
        <v>45778</v>
      </c>
      <c r="C66" s="79">
        <v>-80</v>
      </c>
      <c r="D66" s="14" t="s">
        <v>147</v>
      </c>
      <c r="E66" s="5" t="s">
        <v>118</v>
      </c>
      <c r="F66" s="5" t="s">
        <v>53</v>
      </c>
      <c r="G66" s="5" t="s">
        <v>55</v>
      </c>
    </row>
    <row r="67" spans="2:7" ht="18" hidden="1">
      <c r="B67" s="55">
        <v>45780</v>
      </c>
      <c r="C67" s="79">
        <v>-164</v>
      </c>
      <c r="D67" s="14" t="s">
        <v>147</v>
      </c>
      <c r="E67" s="5" t="s">
        <v>118</v>
      </c>
      <c r="F67" s="5" t="s">
        <v>53</v>
      </c>
      <c r="G67" s="5" t="s">
        <v>55</v>
      </c>
    </row>
    <row r="68" spans="2:7" ht="18" hidden="1">
      <c r="B68" s="55">
        <v>45780</v>
      </c>
      <c r="C68" s="79">
        <v>-70.412999999999997</v>
      </c>
      <c r="D68" s="14" t="s">
        <v>147</v>
      </c>
      <c r="E68" s="5" t="s">
        <v>118</v>
      </c>
      <c r="F68" s="5" t="s">
        <v>53</v>
      </c>
      <c r="G68" s="5" t="s">
        <v>55</v>
      </c>
    </row>
    <row r="69" spans="2:7" ht="18" hidden="1">
      <c r="B69" s="55">
        <v>45781</v>
      </c>
      <c r="C69" s="79">
        <v>-320</v>
      </c>
      <c r="D69" s="14" t="s">
        <v>148</v>
      </c>
      <c r="E69" s="5" t="s">
        <v>118</v>
      </c>
      <c r="F69" s="5" t="s">
        <v>38</v>
      </c>
      <c r="G69" s="5" t="s">
        <v>51</v>
      </c>
    </row>
    <row r="70" spans="2:7" ht="18" hidden="1">
      <c r="B70" s="55">
        <v>45781</v>
      </c>
      <c r="C70" s="79">
        <v>-100</v>
      </c>
      <c r="D70" s="14" t="s">
        <v>147</v>
      </c>
      <c r="E70" s="5" t="s">
        <v>118</v>
      </c>
      <c r="F70" s="5" t="s">
        <v>53</v>
      </c>
      <c r="G70" s="5" t="s">
        <v>55</v>
      </c>
    </row>
    <row r="71" spans="2:7" ht="18" hidden="1">
      <c r="B71" s="55">
        <v>45782</v>
      </c>
      <c r="C71" s="79">
        <v>-18</v>
      </c>
      <c r="D71" s="14" t="s">
        <v>147</v>
      </c>
      <c r="E71" s="5" t="s">
        <v>118</v>
      </c>
      <c r="F71" s="5" t="s">
        <v>53</v>
      </c>
      <c r="G71" s="5" t="s">
        <v>56</v>
      </c>
    </row>
    <row r="72" spans="2:7" ht="18" hidden="1">
      <c r="B72" s="55">
        <v>45782</v>
      </c>
      <c r="C72" s="79">
        <v>-12</v>
      </c>
      <c r="D72" s="14" t="s">
        <v>147</v>
      </c>
      <c r="E72" s="5" t="s">
        <v>118</v>
      </c>
      <c r="F72" s="5" t="s">
        <v>38</v>
      </c>
      <c r="G72" s="5" t="s">
        <v>50</v>
      </c>
    </row>
    <row r="73" spans="2:7" ht="18" hidden="1">
      <c r="B73" s="55">
        <v>45783</v>
      </c>
      <c r="C73" s="79">
        <v>-75</v>
      </c>
      <c r="D73" s="14" t="s">
        <v>147</v>
      </c>
      <c r="E73" s="5" t="s">
        <v>118</v>
      </c>
      <c r="F73" s="5" t="s">
        <v>53</v>
      </c>
      <c r="G73" s="5" t="s">
        <v>56</v>
      </c>
    </row>
    <row r="74" spans="2:7" ht="18" hidden="1">
      <c r="B74" s="55">
        <v>45783</v>
      </c>
      <c r="C74" s="79">
        <v>-36</v>
      </c>
      <c r="D74" s="14" t="s">
        <v>147</v>
      </c>
      <c r="E74" s="5" t="s">
        <v>118</v>
      </c>
      <c r="F74" s="5" t="s">
        <v>53</v>
      </c>
      <c r="G74" s="5" t="s">
        <v>55</v>
      </c>
    </row>
    <row r="75" spans="2:7" ht="18" hidden="1">
      <c r="B75" s="55">
        <v>45783</v>
      </c>
      <c r="C75" s="79">
        <v>-6</v>
      </c>
      <c r="D75" s="14" t="s">
        <v>147</v>
      </c>
      <c r="E75" s="5" t="s">
        <v>118</v>
      </c>
      <c r="F75" s="5" t="s">
        <v>38</v>
      </c>
      <c r="G75" s="5" t="s">
        <v>50</v>
      </c>
    </row>
    <row r="76" spans="2:7" ht="18" hidden="1">
      <c r="B76" s="55">
        <v>45783</v>
      </c>
      <c r="C76" s="79">
        <v>-8</v>
      </c>
      <c r="D76" s="14" t="s">
        <v>95</v>
      </c>
      <c r="E76" s="5" t="s">
        <v>118</v>
      </c>
      <c r="F76" s="5" t="s">
        <v>38</v>
      </c>
      <c r="G76" s="5" t="s">
        <v>51</v>
      </c>
    </row>
    <row r="77" spans="2:7" ht="18" hidden="1">
      <c r="B77" s="55">
        <v>45783</v>
      </c>
      <c r="C77" s="79">
        <v>-50</v>
      </c>
      <c r="D77" s="14" t="s">
        <v>147</v>
      </c>
      <c r="E77" s="5" t="s">
        <v>118</v>
      </c>
      <c r="F77" s="5" t="s">
        <v>53</v>
      </c>
      <c r="G77" s="5" t="s">
        <v>56</v>
      </c>
    </row>
    <row r="78" spans="2:7" ht="18" hidden="1">
      <c r="B78" s="55">
        <v>45784</v>
      </c>
      <c r="C78" s="79">
        <v>-33</v>
      </c>
      <c r="D78" s="14" t="s">
        <v>147</v>
      </c>
      <c r="E78" s="5" t="s">
        <v>118</v>
      </c>
      <c r="F78" s="5" t="s">
        <v>38</v>
      </c>
      <c r="G78" s="5" t="s">
        <v>51</v>
      </c>
    </row>
    <row r="79" spans="2:7" ht="18" hidden="1">
      <c r="B79" s="55">
        <v>45785</v>
      </c>
      <c r="C79" s="79">
        <v>-9</v>
      </c>
      <c r="D79" s="14" t="s">
        <v>95</v>
      </c>
      <c r="E79" s="5" t="s">
        <v>118</v>
      </c>
      <c r="F79" s="5" t="s">
        <v>38</v>
      </c>
      <c r="G79" s="5" t="s">
        <v>51</v>
      </c>
    </row>
    <row r="80" spans="2:7" ht="18" hidden="1">
      <c r="B80" s="55">
        <v>45785</v>
      </c>
      <c r="C80" s="79">
        <v>-8</v>
      </c>
      <c r="D80" s="14" t="s">
        <v>95</v>
      </c>
      <c r="E80" s="5" t="s">
        <v>118</v>
      </c>
      <c r="F80" s="5" t="s">
        <v>38</v>
      </c>
      <c r="G80" s="5" t="s">
        <v>51</v>
      </c>
    </row>
    <row r="81" spans="2:7" ht="18" hidden="1">
      <c r="B81" s="55">
        <v>45785</v>
      </c>
      <c r="C81" s="79">
        <v>-5</v>
      </c>
      <c r="D81" s="14" t="s">
        <v>95</v>
      </c>
      <c r="E81" s="5" t="s">
        <v>118</v>
      </c>
      <c r="F81" s="5" t="s">
        <v>53</v>
      </c>
      <c r="G81" s="5" t="s">
        <v>56</v>
      </c>
    </row>
    <row r="82" spans="2:7" ht="18" hidden="1">
      <c r="B82" s="55">
        <v>45786</v>
      </c>
      <c r="C82" s="79">
        <v>-10</v>
      </c>
      <c r="D82" s="14" t="s">
        <v>147</v>
      </c>
      <c r="E82" s="5" t="s">
        <v>118</v>
      </c>
      <c r="F82" s="5" t="s">
        <v>53</v>
      </c>
      <c r="G82" s="5" t="s">
        <v>55</v>
      </c>
    </row>
    <row r="83" spans="2:7" ht="18" hidden="1">
      <c r="B83" s="55">
        <v>45786</v>
      </c>
      <c r="C83" s="79">
        <v>-15</v>
      </c>
      <c r="D83" s="14" t="s">
        <v>147</v>
      </c>
      <c r="E83" s="5" t="s">
        <v>118</v>
      </c>
      <c r="F83" s="5" t="s">
        <v>38</v>
      </c>
      <c r="G83" s="5" t="s">
        <v>50</v>
      </c>
    </row>
    <row r="84" spans="2:7" ht="18" hidden="1">
      <c r="B84" s="55">
        <v>45786</v>
      </c>
      <c r="C84" s="79">
        <v>-8</v>
      </c>
      <c r="D84" s="14" t="s">
        <v>95</v>
      </c>
      <c r="E84" s="5" t="s">
        <v>118</v>
      </c>
      <c r="F84" s="5" t="s">
        <v>38</v>
      </c>
      <c r="G84" s="5" t="s">
        <v>51</v>
      </c>
    </row>
    <row r="85" spans="2:7" ht="18" hidden="1">
      <c r="B85" s="55">
        <v>45787</v>
      </c>
      <c r="C85" s="79">
        <v>-15</v>
      </c>
      <c r="D85" s="14" t="s">
        <v>147</v>
      </c>
      <c r="E85" s="5" t="s">
        <v>118</v>
      </c>
      <c r="F85" s="5" t="s">
        <v>38</v>
      </c>
      <c r="G85" s="5" t="s">
        <v>50</v>
      </c>
    </row>
    <row r="86" spans="2:7" ht="18" hidden="1">
      <c r="B86" s="55">
        <v>45787</v>
      </c>
      <c r="C86" s="79">
        <v>-90</v>
      </c>
      <c r="D86" s="14" t="s">
        <v>147</v>
      </c>
      <c r="E86" s="5" t="s">
        <v>118</v>
      </c>
      <c r="F86" s="5" t="s">
        <v>38</v>
      </c>
      <c r="G86" s="5" t="s">
        <v>51</v>
      </c>
    </row>
    <row r="87" spans="2:7" ht="18" hidden="1">
      <c r="B87" s="55">
        <v>45788</v>
      </c>
      <c r="C87" s="79">
        <v>-60</v>
      </c>
      <c r="D87" s="14" t="s">
        <v>147</v>
      </c>
      <c r="E87" s="5" t="s">
        <v>118</v>
      </c>
      <c r="F87" s="5" t="s">
        <v>38</v>
      </c>
      <c r="G87" s="5" t="s">
        <v>50</v>
      </c>
    </row>
    <row r="88" spans="2:7" ht="18" hidden="1">
      <c r="B88" s="55">
        <v>45788</v>
      </c>
      <c r="C88" s="79">
        <v>-55</v>
      </c>
      <c r="D88" s="14" t="s">
        <v>148</v>
      </c>
      <c r="E88" s="5" t="s">
        <v>118</v>
      </c>
      <c r="F88" s="5" t="s">
        <v>53</v>
      </c>
      <c r="G88" s="5" t="s">
        <v>56</v>
      </c>
    </row>
    <row r="89" spans="2:7" ht="18" hidden="1">
      <c r="B89" s="55">
        <v>45788</v>
      </c>
      <c r="C89" s="79">
        <v>-200</v>
      </c>
      <c r="D89" s="14" t="s">
        <v>148</v>
      </c>
      <c r="E89" s="5" t="s">
        <v>118</v>
      </c>
      <c r="F89" s="5" t="s">
        <v>38</v>
      </c>
      <c r="G89" s="5" t="s">
        <v>51</v>
      </c>
    </row>
    <row r="90" spans="2:7" ht="18" hidden="1">
      <c r="B90" s="55">
        <v>45788</v>
      </c>
      <c r="C90" s="79">
        <v>-20</v>
      </c>
      <c r="D90" s="14" t="s">
        <v>147</v>
      </c>
      <c r="E90" s="5" t="s">
        <v>118</v>
      </c>
      <c r="F90" s="5" t="s">
        <v>63</v>
      </c>
      <c r="G90" s="5" t="s">
        <v>65</v>
      </c>
    </row>
    <row r="91" spans="2:7" ht="18" hidden="1">
      <c r="B91" s="55">
        <v>45789</v>
      </c>
      <c r="C91" s="79">
        <v>-9</v>
      </c>
      <c r="D91" s="14" t="s">
        <v>147</v>
      </c>
      <c r="E91" s="5" t="s">
        <v>118</v>
      </c>
      <c r="F91" s="5" t="s">
        <v>38</v>
      </c>
      <c r="G91" s="5" t="s">
        <v>50</v>
      </c>
    </row>
    <row r="92" spans="2:7" ht="18" hidden="1">
      <c r="B92" s="55">
        <v>45789</v>
      </c>
      <c r="C92" s="79">
        <v>-2</v>
      </c>
      <c r="D92" s="14" t="s">
        <v>95</v>
      </c>
      <c r="E92" s="5" t="s">
        <v>118</v>
      </c>
      <c r="F92" s="5" t="s">
        <v>38</v>
      </c>
      <c r="G92" s="5" t="s">
        <v>51</v>
      </c>
    </row>
    <row r="93" spans="2:7" ht="18" hidden="1">
      <c r="B93" s="55">
        <v>45790</v>
      </c>
      <c r="C93" s="79">
        <v>-3</v>
      </c>
      <c r="D93" s="14" t="s">
        <v>95</v>
      </c>
      <c r="E93" s="5" t="s">
        <v>118</v>
      </c>
      <c r="F93" s="5" t="s">
        <v>38</v>
      </c>
      <c r="G93" s="5" t="s">
        <v>51</v>
      </c>
    </row>
    <row r="94" spans="2:7" ht="18" hidden="1">
      <c r="B94" s="55">
        <v>45791</v>
      </c>
      <c r="C94" s="79">
        <v>-55</v>
      </c>
      <c r="D94" s="14" t="s">
        <v>148</v>
      </c>
      <c r="E94" s="5" t="s">
        <v>118</v>
      </c>
      <c r="F94" s="5" t="s">
        <v>38</v>
      </c>
      <c r="G94" s="5" t="s">
        <v>51</v>
      </c>
    </row>
    <row r="95" spans="2:7" ht="18" hidden="1">
      <c r="B95" s="55">
        <v>45791</v>
      </c>
      <c r="C95" s="79">
        <v>-3</v>
      </c>
      <c r="D95" s="14" t="s">
        <v>95</v>
      </c>
      <c r="E95" s="5" t="s">
        <v>118</v>
      </c>
      <c r="F95" s="5" t="s">
        <v>38</v>
      </c>
      <c r="G95" s="5" t="s">
        <v>51</v>
      </c>
    </row>
    <row r="96" spans="2:7" ht="18" hidden="1">
      <c r="B96" s="55">
        <v>45791</v>
      </c>
      <c r="C96" s="79">
        <v>1000</v>
      </c>
      <c r="D96" s="14" t="s">
        <v>147</v>
      </c>
      <c r="E96" s="5" t="s">
        <v>34</v>
      </c>
      <c r="F96" s="5" t="s">
        <v>35</v>
      </c>
      <c r="G96" s="5" t="s">
        <v>39</v>
      </c>
    </row>
    <row r="97" spans="2:7" ht="18" hidden="1">
      <c r="B97" s="55">
        <v>45792</v>
      </c>
      <c r="C97" s="79">
        <v>-3</v>
      </c>
      <c r="D97" s="14" t="s">
        <v>95</v>
      </c>
      <c r="E97" s="5" t="s">
        <v>118</v>
      </c>
      <c r="F97" s="5" t="s">
        <v>38</v>
      </c>
      <c r="G97" s="5" t="s">
        <v>51</v>
      </c>
    </row>
    <row r="98" spans="2:7" ht="18" hidden="1">
      <c r="B98" s="55">
        <v>45793</v>
      </c>
      <c r="C98" s="79">
        <v>-3</v>
      </c>
      <c r="D98" s="14" t="s">
        <v>95</v>
      </c>
      <c r="E98" s="5" t="s">
        <v>118</v>
      </c>
      <c r="F98" s="5" t="s">
        <v>38</v>
      </c>
      <c r="G98" s="5" t="s">
        <v>51</v>
      </c>
    </row>
    <row r="99" spans="2:7" ht="18" hidden="1">
      <c r="B99" s="55">
        <v>45793</v>
      </c>
      <c r="C99" s="79">
        <v>-188</v>
      </c>
      <c r="D99" s="14" t="s">
        <v>147</v>
      </c>
      <c r="E99" s="5" t="s">
        <v>118</v>
      </c>
      <c r="F99" s="5" t="s">
        <v>38</v>
      </c>
      <c r="G99" s="5" t="s">
        <v>50</v>
      </c>
    </row>
    <row r="100" spans="2:7" ht="18" hidden="1">
      <c r="B100" s="55">
        <v>45794</v>
      </c>
      <c r="C100" s="79">
        <v>-167</v>
      </c>
      <c r="D100" s="14" t="s">
        <v>147</v>
      </c>
      <c r="E100" s="5" t="s">
        <v>118</v>
      </c>
      <c r="F100" s="5" t="s">
        <v>53</v>
      </c>
      <c r="G100" s="5" t="s">
        <v>55</v>
      </c>
    </row>
    <row r="101" spans="2:7" ht="18" hidden="1">
      <c r="B101" s="55">
        <v>45795</v>
      </c>
      <c r="C101" s="79">
        <v>8.8999999999999996E-2</v>
      </c>
      <c r="D101" s="14" t="s">
        <v>147</v>
      </c>
      <c r="E101" s="5" t="s">
        <v>34</v>
      </c>
      <c r="F101" s="5" t="s">
        <v>36</v>
      </c>
      <c r="G101" s="5" t="s">
        <v>42</v>
      </c>
    </row>
    <row r="102" spans="2:7" ht="18" hidden="1">
      <c r="B102" s="55">
        <v>45795</v>
      </c>
      <c r="C102" s="79">
        <v>-55.009</v>
      </c>
      <c r="D102" s="14" t="s">
        <v>147</v>
      </c>
      <c r="E102" s="5" t="s">
        <v>118</v>
      </c>
      <c r="F102" s="5" t="s">
        <v>38</v>
      </c>
      <c r="G102" s="5" t="s">
        <v>50</v>
      </c>
    </row>
    <row r="103" spans="2:7" ht="18" hidden="1">
      <c r="B103" s="55">
        <v>45795</v>
      </c>
      <c r="C103" s="79">
        <v>-30</v>
      </c>
      <c r="D103" s="14" t="s">
        <v>147</v>
      </c>
      <c r="E103" s="5" t="s">
        <v>118</v>
      </c>
      <c r="F103" s="5" t="s">
        <v>38</v>
      </c>
      <c r="G103" s="5" t="s">
        <v>50</v>
      </c>
    </row>
    <row r="104" spans="2:7" ht="18" hidden="1">
      <c r="B104" s="55">
        <v>45795</v>
      </c>
      <c r="C104" s="79">
        <v>-30</v>
      </c>
      <c r="D104" s="14" t="s">
        <v>147</v>
      </c>
      <c r="E104" s="5" t="s">
        <v>118</v>
      </c>
      <c r="F104" s="5" t="s">
        <v>53</v>
      </c>
      <c r="G104" s="5" t="s">
        <v>56</v>
      </c>
    </row>
    <row r="105" spans="2:7" ht="18" hidden="1">
      <c r="B105" s="55">
        <v>45796</v>
      </c>
      <c r="C105" s="79">
        <v>-13</v>
      </c>
      <c r="D105" s="14" t="s">
        <v>95</v>
      </c>
      <c r="E105" s="5" t="s">
        <v>118</v>
      </c>
      <c r="F105" s="5" t="s">
        <v>38</v>
      </c>
      <c r="G105" s="5" t="s">
        <v>51</v>
      </c>
    </row>
    <row r="106" spans="2:7" ht="18" hidden="1">
      <c r="B106" s="55">
        <v>45796</v>
      </c>
      <c r="C106" s="79">
        <v>-160</v>
      </c>
      <c r="D106" s="14" t="s">
        <v>147</v>
      </c>
      <c r="E106" s="5" t="s">
        <v>118</v>
      </c>
      <c r="F106" s="5" t="s">
        <v>53</v>
      </c>
      <c r="G106" s="5" t="s">
        <v>56</v>
      </c>
    </row>
    <row r="107" spans="2:7" ht="18" hidden="1">
      <c r="B107" s="55">
        <v>45797</v>
      </c>
      <c r="C107" s="79">
        <v>-13</v>
      </c>
      <c r="D107" s="14" t="s">
        <v>95</v>
      </c>
      <c r="E107" s="5" t="s">
        <v>118</v>
      </c>
      <c r="F107" s="5" t="s">
        <v>38</v>
      </c>
      <c r="G107" s="5" t="s">
        <v>51</v>
      </c>
    </row>
    <row r="108" spans="2:7" ht="18" hidden="1">
      <c r="B108" s="55">
        <v>45798</v>
      </c>
      <c r="C108" s="79">
        <v>-40</v>
      </c>
      <c r="D108" s="14" t="s">
        <v>147</v>
      </c>
      <c r="E108" s="5" t="s">
        <v>118</v>
      </c>
      <c r="F108" s="5" t="s">
        <v>53</v>
      </c>
      <c r="G108" s="5" t="s">
        <v>56</v>
      </c>
    </row>
    <row r="109" spans="2:7" ht="18" hidden="1">
      <c r="B109" s="55">
        <v>45798</v>
      </c>
      <c r="C109" s="79">
        <v>-35</v>
      </c>
      <c r="D109" s="14" t="s">
        <v>147</v>
      </c>
      <c r="E109" s="5" t="s">
        <v>118</v>
      </c>
      <c r="F109" s="5" t="s">
        <v>53</v>
      </c>
      <c r="G109" s="5" t="s">
        <v>55</v>
      </c>
    </row>
    <row r="110" spans="2:7" ht="18" hidden="1">
      <c r="B110" s="55">
        <v>45798</v>
      </c>
      <c r="C110" s="79">
        <v>-100</v>
      </c>
      <c r="D110" s="14" t="s">
        <v>147</v>
      </c>
      <c r="E110" s="5" t="s">
        <v>118</v>
      </c>
      <c r="F110" s="5" t="s">
        <v>38</v>
      </c>
      <c r="G110" s="5" t="s">
        <v>51</v>
      </c>
    </row>
    <row r="111" spans="2:7" ht="18" hidden="1">
      <c r="B111" s="55">
        <v>45800</v>
      </c>
      <c r="C111" s="79">
        <v>-66</v>
      </c>
      <c r="D111" s="14" t="s">
        <v>147</v>
      </c>
      <c r="E111" s="5" t="s">
        <v>118</v>
      </c>
      <c r="F111" s="5" t="s">
        <v>38</v>
      </c>
      <c r="G111" s="5" t="s">
        <v>50</v>
      </c>
    </row>
    <row r="112" spans="2:7" ht="18" hidden="1">
      <c r="B112" s="55">
        <v>45800</v>
      </c>
      <c r="C112" s="79">
        <v>-15</v>
      </c>
      <c r="D112" s="14" t="s">
        <v>147</v>
      </c>
      <c r="E112" s="5" t="s">
        <v>118</v>
      </c>
      <c r="F112" s="5" t="s">
        <v>38</v>
      </c>
      <c r="G112" s="5" t="s">
        <v>50</v>
      </c>
    </row>
    <row r="113" spans="2:7" ht="18" hidden="1">
      <c r="B113" s="55">
        <v>45801</v>
      </c>
      <c r="C113" s="79">
        <v>-3</v>
      </c>
      <c r="D113" s="14" t="s">
        <v>95</v>
      </c>
      <c r="E113" s="5" t="s">
        <v>118</v>
      </c>
      <c r="F113" s="5" t="s">
        <v>38</v>
      </c>
      <c r="G113" s="5" t="s">
        <v>51</v>
      </c>
    </row>
    <row r="114" spans="2:7" ht="18" hidden="1">
      <c r="B114" s="55">
        <v>45801</v>
      </c>
      <c r="C114" s="79">
        <v>-1</v>
      </c>
      <c r="D114" s="14" t="s">
        <v>147</v>
      </c>
      <c r="E114" s="5" t="s">
        <v>118</v>
      </c>
      <c r="F114" s="5" t="s">
        <v>53</v>
      </c>
      <c r="G114" s="5" t="s">
        <v>56</v>
      </c>
    </row>
    <row r="115" spans="2:7" ht="18" hidden="1">
      <c r="B115" s="55">
        <v>45802</v>
      </c>
      <c r="C115" s="79">
        <v>4.2000000000000003E-2</v>
      </c>
      <c r="D115" s="14" t="s">
        <v>148</v>
      </c>
      <c r="E115" s="5" t="s">
        <v>34</v>
      </c>
      <c r="F115" s="5" t="s">
        <v>36</v>
      </c>
      <c r="G115" s="5" t="s">
        <v>42</v>
      </c>
    </row>
    <row r="116" spans="2:7" ht="18" hidden="1">
      <c r="B116" s="55">
        <v>45803</v>
      </c>
      <c r="C116" s="79">
        <v>-3</v>
      </c>
      <c r="D116" s="14" t="s">
        <v>95</v>
      </c>
      <c r="E116" s="5" t="s">
        <v>118</v>
      </c>
      <c r="F116" s="5" t="s">
        <v>38</v>
      </c>
      <c r="G116" s="5" t="s">
        <v>51</v>
      </c>
    </row>
    <row r="117" spans="2:7" ht="18" hidden="1">
      <c r="B117" s="55">
        <v>45803</v>
      </c>
      <c r="C117" s="79">
        <v>1000</v>
      </c>
      <c r="D117" s="14" t="s">
        <v>147</v>
      </c>
      <c r="E117" s="5" t="s">
        <v>34</v>
      </c>
      <c r="F117" s="5" t="s">
        <v>35</v>
      </c>
      <c r="G117" s="5" t="s">
        <v>39</v>
      </c>
    </row>
    <row r="118" spans="2:7" ht="18" hidden="1">
      <c r="B118" s="55">
        <v>45809</v>
      </c>
      <c r="C118" s="79">
        <v>1000</v>
      </c>
      <c r="D118" s="14" t="s">
        <v>147</v>
      </c>
      <c r="E118" s="5" t="s">
        <v>34</v>
      </c>
      <c r="F118" s="5" t="s">
        <v>35</v>
      </c>
      <c r="G118" s="5" t="s">
        <v>39</v>
      </c>
    </row>
    <row r="119" spans="2:7" ht="18" hidden="1">
      <c r="B119" s="55">
        <v>45804</v>
      </c>
      <c r="C119" s="79">
        <v>-3</v>
      </c>
      <c r="D119" s="14" t="s">
        <v>95</v>
      </c>
      <c r="E119" s="5" t="s">
        <v>118</v>
      </c>
      <c r="F119" s="5" t="s">
        <v>38</v>
      </c>
      <c r="G119" s="5" t="s">
        <v>51</v>
      </c>
    </row>
    <row r="120" spans="2:7" ht="18" hidden="1">
      <c r="B120" s="55">
        <v>45804</v>
      </c>
      <c r="C120" s="79">
        <v>-79.900000000000006</v>
      </c>
      <c r="D120" s="14" t="s">
        <v>147</v>
      </c>
      <c r="E120" s="5" t="s">
        <v>118</v>
      </c>
      <c r="F120" s="5" t="s">
        <v>38</v>
      </c>
      <c r="G120" s="5" t="s">
        <v>51</v>
      </c>
    </row>
    <row r="121" spans="2:7" ht="18" hidden="1">
      <c r="B121" s="55">
        <v>45804</v>
      </c>
      <c r="C121" s="79">
        <v>-100</v>
      </c>
      <c r="D121" s="14" t="s">
        <v>147</v>
      </c>
      <c r="E121" s="5" t="s">
        <v>118</v>
      </c>
      <c r="F121" s="5" t="s">
        <v>38</v>
      </c>
      <c r="G121" s="5" t="s">
        <v>51</v>
      </c>
    </row>
    <row r="122" spans="2:7" ht="18" hidden="1">
      <c r="B122" s="55">
        <v>45805</v>
      </c>
      <c r="C122" s="79">
        <v>-74.5</v>
      </c>
      <c r="D122" s="14" t="s">
        <v>147</v>
      </c>
      <c r="E122" s="5" t="s">
        <v>118</v>
      </c>
      <c r="F122" s="5" t="s">
        <v>53</v>
      </c>
      <c r="G122" s="5" t="s">
        <v>55</v>
      </c>
    </row>
    <row r="123" spans="2:7" ht="18" hidden="1">
      <c r="B123" s="55">
        <v>45805</v>
      </c>
      <c r="C123" s="79">
        <v>-32.5</v>
      </c>
      <c r="D123" s="14" t="s">
        <v>147</v>
      </c>
      <c r="E123" s="5" t="s">
        <v>118</v>
      </c>
      <c r="F123" s="5" t="s">
        <v>53</v>
      </c>
      <c r="G123" s="5" t="s">
        <v>56</v>
      </c>
    </row>
    <row r="124" spans="2:7" ht="18" hidden="1">
      <c r="B124" s="55">
        <v>45806</v>
      </c>
      <c r="C124" s="79">
        <v>-3</v>
      </c>
      <c r="D124" s="14" t="s">
        <v>95</v>
      </c>
      <c r="E124" s="5" t="s">
        <v>118</v>
      </c>
      <c r="F124" s="5" t="s">
        <v>38</v>
      </c>
      <c r="G124" s="5" t="s">
        <v>51</v>
      </c>
    </row>
    <row r="125" spans="2:7" ht="18" hidden="1">
      <c r="B125" s="55">
        <v>45806</v>
      </c>
      <c r="C125" s="79">
        <v>-41</v>
      </c>
      <c r="D125" s="14" t="s">
        <v>147</v>
      </c>
      <c r="E125" s="5" t="s">
        <v>118</v>
      </c>
      <c r="F125" s="5" t="s">
        <v>53</v>
      </c>
      <c r="G125" s="5" t="s">
        <v>56</v>
      </c>
    </row>
    <row r="126" spans="2:7" ht="18" hidden="1">
      <c r="B126" s="55">
        <v>45806</v>
      </c>
      <c r="C126" s="79">
        <v>-30</v>
      </c>
      <c r="D126" s="14" t="s">
        <v>147</v>
      </c>
      <c r="E126" s="5" t="s">
        <v>118</v>
      </c>
      <c r="F126" s="5" t="s">
        <v>53</v>
      </c>
      <c r="G126" s="5" t="s">
        <v>55</v>
      </c>
    </row>
    <row r="127" spans="2:7" ht="18" hidden="1">
      <c r="B127" s="55">
        <v>45806</v>
      </c>
      <c r="C127" s="79">
        <v>-60</v>
      </c>
      <c r="D127" s="14" t="s">
        <v>147</v>
      </c>
      <c r="E127" s="5" t="s">
        <v>118</v>
      </c>
      <c r="F127" s="5" t="s">
        <v>53</v>
      </c>
      <c r="G127" s="5" t="s">
        <v>55</v>
      </c>
    </row>
    <row r="128" spans="2:7" ht="18" hidden="1">
      <c r="B128" s="55">
        <v>45807</v>
      </c>
      <c r="C128" s="79">
        <v>-64.313000000000002</v>
      </c>
      <c r="D128" s="14" t="s">
        <v>147</v>
      </c>
      <c r="E128" s="5" t="s">
        <v>118</v>
      </c>
      <c r="F128" s="5" t="s">
        <v>38</v>
      </c>
      <c r="G128" s="5" t="s">
        <v>50</v>
      </c>
    </row>
    <row r="129" spans="2:7" ht="18" hidden="1">
      <c r="B129" s="55">
        <v>45807</v>
      </c>
      <c r="C129" s="79">
        <v>-15</v>
      </c>
      <c r="D129" s="14" t="s">
        <v>147</v>
      </c>
      <c r="E129" s="5" t="s">
        <v>118</v>
      </c>
      <c r="F129" s="5" t="s">
        <v>38</v>
      </c>
      <c r="G129" s="5" t="s">
        <v>50</v>
      </c>
    </row>
    <row r="130" spans="2:7" ht="18" hidden="1">
      <c r="B130" s="55">
        <v>45807</v>
      </c>
      <c r="C130" s="79">
        <v>-17</v>
      </c>
      <c r="D130" s="14" t="s">
        <v>147</v>
      </c>
      <c r="E130" s="5" t="s">
        <v>118</v>
      </c>
      <c r="F130" s="5" t="s">
        <v>53</v>
      </c>
      <c r="G130" s="5" t="s">
        <v>55</v>
      </c>
    </row>
    <row r="131" spans="2:7" ht="18" hidden="1">
      <c r="B131" s="55">
        <v>45807</v>
      </c>
      <c r="C131" s="79">
        <v>-25</v>
      </c>
      <c r="D131" s="14" t="s">
        <v>147</v>
      </c>
      <c r="E131" s="5" t="s">
        <v>118</v>
      </c>
      <c r="F131" s="5" t="s">
        <v>38</v>
      </c>
      <c r="G131" s="5" t="s">
        <v>48</v>
      </c>
    </row>
    <row r="132" spans="2:7" ht="18" hidden="1">
      <c r="B132" s="55">
        <v>45807</v>
      </c>
      <c r="C132" s="79">
        <v>-30</v>
      </c>
      <c r="D132" s="14" t="s">
        <v>147</v>
      </c>
      <c r="E132" s="5" t="s">
        <v>118</v>
      </c>
      <c r="F132" s="5" t="s">
        <v>38</v>
      </c>
      <c r="G132" s="5" t="s">
        <v>51</v>
      </c>
    </row>
    <row r="133" spans="2:7" ht="18" hidden="1">
      <c r="B133" s="55">
        <v>45808</v>
      </c>
      <c r="C133" s="79">
        <v>-400</v>
      </c>
      <c r="D133" s="14" t="s">
        <v>148</v>
      </c>
      <c r="E133" s="5" t="s">
        <v>118</v>
      </c>
      <c r="F133" s="5" t="s">
        <v>63</v>
      </c>
      <c r="G133" s="5" t="s">
        <v>65</v>
      </c>
    </row>
    <row r="134" spans="2:7" ht="18" hidden="1">
      <c r="B134" s="55">
        <v>45808</v>
      </c>
      <c r="C134" s="79">
        <v>52</v>
      </c>
      <c r="D134" s="14" t="s">
        <v>147</v>
      </c>
      <c r="E134" s="5" t="s">
        <v>34</v>
      </c>
      <c r="F134" s="5" t="s">
        <v>36</v>
      </c>
      <c r="G134" s="5" t="s">
        <v>42</v>
      </c>
    </row>
    <row r="135" spans="2:7" ht="18" hidden="1">
      <c r="B135" s="55">
        <v>45808</v>
      </c>
      <c r="C135" s="79">
        <v>-330</v>
      </c>
      <c r="D135" s="14" t="s">
        <v>147</v>
      </c>
      <c r="E135" s="5" t="s">
        <v>118</v>
      </c>
      <c r="F135" s="5" t="s">
        <v>53</v>
      </c>
      <c r="G135" s="5" t="s">
        <v>56</v>
      </c>
    </row>
    <row r="136" spans="2:7" ht="18" hidden="1">
      <c r="B136" s="55">
        <v>45809</v>
      </c>
      <c r="C136" s="79">
        <v>-3</v>
      </c>
      <c r="D136" s="14" t="s">
        <v>95</v>
      </c>
      <c r="E136" s="5" t="s">
        <v>118</v>
      </c>
      <c r="F136" s="5" t="s">
        <v>38</v>
      </c>
      <c r="G136" s="5" t="s">
        <v>51</v>
      </c>
    </row>
    <row r="137" spans="2:7" ht="18" hidden="1">
      <c r="B137" s="55">
        <v>45809</v>
      </c>
      <c r="C137" s="79">
        <v>-110</v>
      </c>
      <c r="D137" s="14" t="s">
        <v>147</v>
      </c>
      <c r="E137" s="5" t="s">
        <v>118</v>
      </c>
      <c r="F137" s="5" t="s">
        <v>38</v>
      </c>
      <c r="G137" s="5" t="s">
        <v>48</v>
      </c>
    </row>
    <row r="138" spans="2:7" ht="18" hidden="1">
      <c r="B138" s="55">
        <v>45809</v>
      </c>
      <c r="C138" s="79">
        <v>-35</v>
      </c>
      <c r="D138" s="14" t="s">
        <v>147</v>
      </c>
      <c r="E138" s="5" t="s">
        <v>118</v>
      </c>
      <c r="F138" s="5" t="s">
        <v>53</v>
      </c>
      <c r="G138" s="5" t="s">
        <v>56</v>
      </c>
    </row>
    <row r="139" spans="2:7" ht="18" hidden="1">
      <c r="B139" s="55">
        <v>45810</v>
      </c>
      <c r="C139" s="79">
        <v>-57.057000000000002</v>
      </c>
      <c r="D139" s="14" t="s">
        <v>147</v>
      </c>
      <c r="E139" s="5" t="s">
        <v>118</v>
      </c>
      <c r="F139" s="5" t="s">
        <v>38</v>
      </c>
      <c r="G139" s="5" t="s">
        <v>51</v>
      </c>
    </row>
    <row r="140" spans="2:7" ht="18" hidden="1">
      <c r="B140" s="55">
        <v>45810</v>
      </c>
      <c r="C140" s="79">
        <v>-10</v>
      </c>
      <c r="D140" s="14" t="s">
        <v>147</v>
      </c>
      <c r="E140" s="5" t="s">
        <v>118</v>
      </c>
      <c r="F140" s="5" t="s">
        <v>38</v>
      </c>
      <c r="G140" s="5" t="s">
        <v>50</v>
      </c>
    </row>
    <row r="141" spans="2:7" ht="18" hidden="1">
      <c r="B141" s="55">
        <v>45811</v>
      </c>
      <c r="C141" s="79">
        <v>-6</v>
      </c>
      <c r="D141" s="14" t="s">
        <v>95</v>
      </c>
      <c r="E141" s="5" t="s">
        <v>118</v>
      </c>
      <c r="F141" s="5" t="s">
        <v>38</v>
      </c>
      <c r="G141" s="5" t="s">
        <v>51</v>
      </c>
    </row>
    <row r="142" spans="2:7" ht="18" hidden="1">
      <c r="B142" s="55">
        <v>45813</v>
      </c>
      <c r="C142" s="79">
        <v>300</v>
      </c>
      <c r="D142" s="14" t="s">
        <v>147</v>
      </c>
      <c r="E142" s="5" t="s">
        <v>34</v>
      </c>
      <c r="F142" s="5" t="s">
        <v>35</v>
      </c>
      <c r="G142" s="5" t="s">
        <v>39</v>
      </c>
    </row>
    <row r="143" spans="2:7" ht="18" hidden="1">
      <c r="B143" s="55">
        <v>45813</v>
      </c>
      <c r="C143" s="79">
        <v>-3</v>
      </c>
      <c r="D143" s="14" t="s">
        <v>95</v>
      </c>
      <c r="E143" s="5" t="s">
        <v>118</v>
      </c>
      <c r="F143" s="5" t="s">
        <v>38</v>
      </c>
      <c r="G143" s="5" t="s">
        <v>51</v>
      </c>
    </row>
    <row r="144" spans="2:7" ht="18" hidden="1">
      <c r="B144" s="55">
        <v>45813</v>
      </c>
      <c r="C144" s="79">
        <v>-19</v>
      </c>
      <c r="D144" s="14" t="s">
        <v>147</v>
      </c>
      <c r="E144" s="5" t="s">
        <v>118</v>
      </c>
      <c r="F144" s="5" t="s">
        <v>53</v>
      </c>
      <c r="G144" s="5" t="s">
        <v>56</v>
      </c>
    </row>
    <row r="145" spans="2:7" ht="18" hidden="1">
      <c r="B145" s="55">
        <v>45814</v>
      </c>
      <c r="C145" s="79">
        <v>-54</v>
      </c>
      <c r="D145" s="14" t="s">
        <v>147</v>
      </c>
      <c r="E145" s="5" t="s">
        <v>118</v>
      </c>
      <c r="F145" s="5" t="s">
        <v>38</v>
      </c>
      <c r="G145" s="5" t="s">
        <v>51</v>
      </c>
    </row>
    <row r="146" spans="2:7" ht="18" hidden="1">
      <c r="B146" s="55">
        <v>45815</v>
      </c>
      <c r="C146" s="79">
        <v>-50</v>
      </c>
      <c r="D146" s="14" t="s">
        <v>147</v>
      </c>
      <c r="E146" s="5" t="s">
        <v>118</v>
      </c>
      <c r="F146" s="5" t="s">
        <v>53</v>
      </c>
      <c r="G146" s="5" t="s">
        <v>56</v>
      </c>
    </row>
    <row r="147" spans="2:7" ht="18" hidden="1">
      <c r="B147" s="55">
        <v>45816</v>
      </c>
      <c r="C147" s="79">
        <v>-197</v>
      </c>
      <c r="D147" s="14" t="s">
        <v>147</v>
      </c>
      <c r="E147" s="5" t="s">
        <v>118</v>
      </c>
      <c r="F147" s="5" t="s">
        <v>38</v>
      </c>
      <c r="G147" s="5" t="s">
        <v>48</v>
      </c>
    </row>
    <row r="148" spans="2:7" ht="18" hidden="1">
      <c r="B148" s="55">
        <v>45817</v>
      </c>
      <c r="C148" s="79">
        <v>-24.5</v>
      </c>
      <c r="D148" s="14" t="s">
        <v>148</v>
      </c>
      <c r="E148" s="5" t="s">
        <v>118</v>
      </c>
      <c r="F148" s="5" t="s">
        <v>38</v>
      </c>
      <c r="G148" s="5" t="s">
        <v>48</v>
      </c>
    </row>
    <row r="149" spans="2:7" ht="18" hidden="1">
      <c r="B149" s="55">
        <v>45817</v>
      </c>
      <c r="C149" s="79">
        <v>-104</v>
      </c>
      <c r="D149" s="14" t="s">
        <v>148</v>
      </c>
      <c r="E149" s="5" t="s">
        <v>118</v>
      </c>
      <c r="F149" s="5" t="s">
        <v>38</v>
      </c>
      <c r="G149" s="5" t="s">
        <v>48</v>
      </c>
    </row>
    <row r="150" spans="2:7" ht="18" hidden="1">
      <c r="B150" s="55">
        <v>45817</v>
      </c>
      <c r="C150" s="79">
        <v>-114.2</v>
      </c>
      <c r="D150" s="14" t="s">
        <v>148</v>
      </c>
      <c r="E150" s="5" t="s">
        <v>118</v>
      </c>
      <c r="F150" s="5" t="s">
        <v>38</v>
      </c>
      <c r="G150" s="5" t="s">
        <v>48</v>
      </c>
    </row>
    <row r="151" spans="2:7" ht="18" hidden="1">
      <c r="B151" s="55">
        <v>45817</v>
      </c>
      <c r="C151" s="79">
        <v>-152</v>
      </c>
      <c r="D151" s="14" t="s">
        <v>148</v>
      </c>
      <c r="E151" s="5" t="s">
        <v>118</v>
      </c>
      <c r="F151" s="5" t="s">
        <v>38</v>
      </c>
      <c r="G151" s="5" t="s">
        <v>50</v>
      </c>
    </row>
    <row r="152" spans="2:7" ht="18" hidden="1">
      <c r="B152" s="55">
        <v>45817</v>
      </c>
      <c r="C152" s="79">
        <v>-186</v>
      </c>
      <c r="D152" s="14" t="s">
        <v>148</v>
      </c>
      <c r="E152" s="5" t="s">
        <v>118</v>
      </c>
      <c r="F152" s="5" t="s">
        <v>38</v>
      </c>
      <c r="G152" s="5" t="s">
        <v>50</v>
      </c>
    </row>
    <row r="153" spans="2:7" ht="18" hidden="1">
      <c r="B153" s="55">
        <v>45817</v>
      </c>
      <c r="C153" s="79">
        <v>-220</v>
      </c>
      <c r="D153" s="14" t="s">
        <v>148</v>
      </c>
      <c r="E153" s="5" t="s">
        <v>118</v>
      </c>
      <c r="F153" s="5" t="s">
        <v>38</v>
      </c>
      <c r="G153" s="5" t="s">
        <v>48</v>
      </c>
    </row>
    <row r="154" spans="2:7" ht="18" hidden="1">
      <c r="B154" s="55">
        <v>45817</v>
      </c>
      <c r="C154" s="79">
        <v>-50</v>
      </c>
      <c r="D154" s="14" t="s">
        <v>147</v>
      </c>
      <c r="E154" s="5" t="s">
        <v>118</v>
      </c>
      <c r="F154" s="5" t="s">
        <v>38</v>
      </c>
      <c r="G154" s="5" t="s">
        <v>51</v>
      </c>
    </row>
    <row r="155" spans="2:7" ht="18" hidden="1">
      <c r="B155" s="55">
        <v>45818</v>
      </c>
      <c r="C155" s="79">
        <v>-66</v>
      </c>
      <c r="D155" s="14" t="s">
        <v>147</v>
      </c>
      <c r="E155" s="5" t="s">
        <v>118</v>
      </c>
      <c r="F155" s="5" t="s">
        <v>38</v>
      </c>
      <c r="G155" s="5" t="s">
        <v>51</v>
      </c>
    </row>
    <row r="156" spans="2:7" ht="18" hidden="1">
      <c r="B156" s="55">
        <v>45818</v>
      </c>
      <c r="C156" s="79">
        <v>-5</v>
      </c>
      <c r="D156" s="14" t="s">
        <v>95</v>
      </c>
      <c r="E156" s="5" t="s">
        <v>118</v>
      </c>
      <c r="F156" s="5" t="s">
        <v>38</v>
      </c>
      <c r="G156" s="5" t="s">
        <v>51</v>
      </c>
    </row>
    <row r="157" spans="2:7" ht="18" hidden="1">
      <c r="B157" s="55">
        <v>45819</v>
      </c>
      <c r="C157" s="79">
        <v>-3</v>
      </c>
      <c r="D157" s="14" t="s">
        <v>95</v>
      </c>
      <c r="E157" s="5" t="s">
        <v>118</v>
      </c>
      <c r="F157" s="5" t="s">
        <v>38</v>
      </c>
      <c r="G157" s="5" t="s">
        <v>51</v>
      </c>
    </row>
    <row r="158" spans="2:7" ht="18" hidden="1">
      <c r="B158" s="55">
        <v>45820</v>
      </c>
      <c r="C158" s="79">
        <v>-3</v>
      </c>
      <c r="D158" s="14" t="s">
        <v>95</v>
      </c>
      <c r="E158" s="5" t="s">
        <v>118</v>
      </c>
      <c r="F158" s="5" t="s">
        <v>38</v>
      </c>
      <c r="G158" s="5" t="s">
        <v>51</v>
      </c>
    </row>
    <row r="159" spans="2:7" ht="18" hidden="1">
      <c r="B159" s="55">
        <v>45820</v>
      </c>
      <c r="C159" s="79">
        <v>1000</v>
      </c>
      <c r="D159" s="14" t="s">
        <v>147</v>
      </c>
      <c r="E159" s="5" t="s">
        <v>34</v>
      </c>
      <c r="F159" s="5" t="s">
        <v>35</v>
      </c>
      <c r="G159" s="5" t="s">
        <v>39</v>
      </c>
    </row>
    <row r="160" spans="2:7" ht="18" hidden="1">
      <c r="B160" s="55">
        <v>45820</v>
      </c>
      <c r="C160" s="79">
        <v>-200</v>
      </c>
      <c r="D160" s="14" t="s">
        <v>147</v>
      </c>
      <c r="E160" s="5" t="s">
        <v>118</v>
      </c>
      <c r="F160" s="5" t="s">
        <v>53</v>
      </c>
      <c r="G160" s="5" t="s">
        <v>56</v>
      </c>
    </row>
    <row r="161" spans="2:7" ht="18" hidden="1">
      <c r="B161" s="55">
        <v>45820</v>
      </c>
      <c r="C161" s="79">
        <v>1500</v>
      </c>
      <c r="D161" s="14" t="s">
        <v>147</v>
      </c>
      <c r="E161" s="5" t="s">
        <v>34</v>
      </c>
      <c r="F161" s="5" t="s">
        <v>35</v>
      </c>
      <c r="G161" s="5" t="s">
        <v>39</v>
      </c>
    </row>
    <row r="162" spans="2:7" ht="18" hidden="1">
      <c r="B162" s="55">
        <v>45821</v>
      </c>
      <c r="C162" s="79">
        <v>-19</v>
      </c>
      <c r="D162" s="14" t="s">
        <v>147</v>
      </c>
      <c r="E162" s="5" t="s">
        <v>118</v>
      </c>
      <c r="F162" s="5" t="s">
        <v>38</v>
      </c>
      <c r="G162" s="5" t="s">
        <v>50</v>
      </c>
    </row>
    <row r="163" spans="2:7" ht="18" hidden="1">
      <c r="B163" s="55">
        <v>45822</v>
      </c>
      <c r="C163" s="79">
        <v>-54.231000000000002</v>
      </c>
      <c r="D163" s="14" t="s">
        <v>147</v>
      </c>
      <c r="E163" s="5" t="s">
        <v>118</v>
      </c>
      <c r="F163" s="5" t="s">
        <v>38</v>
      </c>
      <c r="G163" s="5" t="s">
        <v>50</v>
      </c>
    </row>
    <row r="164" spans="2:7" ht="18" hidden="1">
      <c r="B164" s="55">
        <v>45822</v>
      </c>
      <c r="C164" s="79">
        <v>-20</v>
      </c>
      <c r="D164" s="14" t="s">
        <v>147</v>
      </c>
      <c r="E164" s="5" t="s">
        <v>118</v>
      </c>
      <c r="F164" s="5" t="s">
        <v>38</v>
      </c>
      <c r="G164" s="5" t="s">
        <v>50</v>
      </c>
    </row>
    <row r="165" spans="2:7" ht="18" hidden="1">
      <c r="B165" s="55">
        <v>45823</v>
      </c>
      <c r="C165" s="79">
        <v>-70</v>
      </c>
      <c r="D165" s="14" t="s">
        <v>147</v>
      </c>
      <c r="E165" s="5" t="s">
        <v>118</v>
      </c>
      <c r="F165" s="5" t="s">
        <v>53</v>
      </c>
      <c r="G165" s="5" t="s">
        <v>56</v>
      </c>
    </row>
    <row r="166" spans="2:7" ht="18" hidden="1">
      <c r="B166" s="55">
        <v>45823</v>
      </c>
      <c r="C166" s="79">
        <v>-73</v>
      </c>
      <c r="D166" s="14" t="s">
        <v>147</v>
      </c>
      <c r="E166" s="5" t="s">
        <v>118</v>
      </c>
      <c r="F166" s="5" t="s">
        <v>53</v>
      </c>
      <c r="G166" s="5" t="s">
        <v>56</v>
      </c>
    </row>
    <row r="167" spans="2:7" ht="18" hidden="1">
      <c r="B167" s="55">
        <v>45823</v>
      </c>
      <c r="C167" s="79">
        <v>-73</v>
      </c>
      <c r="D167" s="14" t="s">
        <v>147</v>
      </c>
      <c r="E167" s="5" t="s">
        <v>118</v>
      </c>
      <c r="F167" s="5" t="s">
        <v>53</v>
      </c>
      <c r="G167" s="5" t="s">
        <v>55</v>
      </c>
    </row>
    <row r="168" spans="2:7" ht="18" hidden="1">
      <c r="B168" s="55">
        <v>45824</v>
      </c>
      <c r="C168" s="79">
        <v>-60</v>
      </c>
      <c r="D168" s="14" t="s">
        <v>147</v>
      </c>
      <c r="E168" s="5" t="s">
        <v>118</v>
      </c>
      <c r="F168" s="5" t="s">
        <v>38</v>
      </c>
      <c r="G168" s="5" t="s">
        <v>50</v>
      </c>
    </row>
    <row r="169" spans="2:7" ht="18" hidden="1">
      <c r="B169" s="55">
        <v>45825</v>
      </c>
      <c r="C169" s="79">
        <v>1000</v>
      </c>
      <c r="D169" s="14" t="s">
        <v>147</v>
      </c>
      <c r="E169" s="5" t="s">
        <v>34</v>
      </c>
      <c r="F169" s="5" t="s">
        <v>35</v>
      </c>
      <c r="G169" s="5" t="s">
        <v>39</v>
      </c>
    </row>
    <row r="170" spans="2:7" ht="18" hidden="1">
      <c r="B170" s="55">
        <v>45839</v>
      </c>
      <c r="C170" s="79">
        <v>1000</v>
      </c>
      <c r="D170" s="14" t="s">
        <v>147</v>
      </c>
      <c r="E170" s="5" t="s">
        <v>34</v>
      </c>
      <c r="F170" s="5" t="s">
        <v>35</v>
      </c>
      <c r="G170" s="5" t="s">
        <v>39</v>
      </c>
    </row>
    <row r="171" spans="2:7" ht="18" hidden="1">
      <c r="B171" s="55">
        <v>45830</v>
      </c>
      <c r="C171" s="79">
        <v>4.9000000000000002E-2</v>
      </c>
      <c r="D171" s="14" t="s">
        <v>147</v>
      </c>
      <c r="E171" s="5" t="s">
        <v>34</v>
      </c>
      <c r="F171" s="5" t="s">
        <v>36</v>
      </c>
      <c r="G171" s="5" t="s">
        <v>42</v>
      </c>
    </row>
    <row r="172" spans="2:7" ht="18" hidden="1">
      <c r="B172" s="55">
        <v>45830</v>
      </c>
      <c r="C172" s="79">
        <v>-59</v>
      </c>
      <c r="D172" s="14" t="s">
        <v>147</v>
      </c>
      <c r="E172" s="5" t="s">
        <v>118</v>
      </c>
      <c r="F172" s="5" t="s">
        <v>53</v>
      </c>
      <c r="G172" s="5" t="s">
        <v>56</v>
      </c>
    </row>
    <row r="173" spans="2:7" ht="18" hidden="1">
      <c r="B173" s="55">
        <v>45830</v>
      </c>
      <c r="C173" s="79">
        <v>-5</v>
      </c>
      <c r="D173" s="14" t="s">
        <v>147</v>
      </c>
      <c r="E173" s="5" t="s">
        <v>118</v>
      </c>
      <c r="F173" s="5" t="s">
        <v>53</v>
      </c>
      <c r="G173" s="5" t="s">
        <v>55</v>
      </c>
    </row>
    <row r="174" spans="2:7" ht="18" hidden="1">
      <c r="B174" s="55">
        <v>45830</v>
      </c>
      <c r="C174" s="79">
        <v>-53.991999999999997</v>
      </c>
      <c r="D174" s="14" t="s">
        <v>147</v>
      </c>
      <c r="E174" s="5" t="s">
        <v>118</v>
      </c>
      <c r="F174" s="5" t="s">
        <v>38</v>
      </c>
      <c r="G174" s="5" t="s">
        <v>50</v>
      </c>
    </row>
    <row r="175" spans="2:7" ht="18" hidden="1">
      <c r="B175" s="55">
        <v>45832</v>
      </c>
      <c r="C175" s="79">
        <v>44</v>
      </c>
      <c r="D175" s="14" t="s">
        <v>147</v>
      </c>
      <c r="E175" s="5" t="s">
        <v>34</v>
      </c>
      <c r="F175" s="5" t="s">
        <v>35</v>
      </c>
      <c r="G175" s="5" t="s">
        <v>41</v>
      </c>
    </row>
    <row r="176" spans="2:7" ht="18" hidden="1">
      <c r="B176" s="55">
        <v>45832</v>
      </c>
      <c r="C176" s="79">
        <v>-94</v>
      </c>
      <c r="D176" s="14" t="s">
        <v>147</v>
      </c>
      <c r="E176" s="5" t="s">
        <v>118</v>
      </c>
      <c r="F176" s="5" t="s">
        <v>53</v>
      </c>
      <c r="G176" s="5" t="s">
        <v>56</v>
      </c>
    </row>
    <row r="177" spans="2:7" ht="18" hidden="1">
      <c r="B177" s="55">
        <v>45832</v>
      </c>
      <c r="C177" s="79">
        <v>-38.333333333333343</v>
      </c>
      <c r="D177" s="14" t="s">
        <v>147</v>
      </c>
      <c r="E177" s="5" t="s">
        <v>118</v>
      </c>
      <c r="F177" s="5" t="s">
        <v>38</v>
      </c>
      <c r="G177" s="5" t="s">
        <v>50</v>
      </c>
    </row>
    <row r="178" spans="2:7" ht="18" hidden="1">
      <c r="B178" s="55">
        <v>45832</v>
      </c>
      <c r="C178" s="79">
        <v>-76.666666666666671</v>
      </c>
      <c r="D178" s="14" t="s">
        <v>147</v>
      </c>
      <c r="E178" s="5" t="s">
        <v>118</v>
      </c>
      <c r="F178" s="5" t="s">
        <v>53</v>
      </c>
      <c r="G178" s="5" t="s">
        <v>55</v>
      </c>
    </row>
    <row r="179" spans="2:7" ht="18" hidden="1">
      <c r="B179" s="55">
        <v>45832</v>
      </c>
      <c r="C179" s="79">
        <v>-62</v>
      </c>
      <c r="D179" s="14" t="s">
        <v>148</v>
      </c>
      <c r="E179" s="5" t="s">
        <v>118</v>
      </c>
      <c r="F179" s="5" t="s">
        <v>38</v>
      </c>
      <c r="G179" s="5" t="s">
        <v>50</v>
      </c>
    </row>
    <row r="180" spans="2:7" ht="18" hidden="1">
      <c r="B180" s="55">
        <v>45834</v>
      </c>
      <c r="C180" s="79">
        <v>-250</v>
      </c>
      <c r="D180" s="14" t="s">
        <v>148</v>
      </c>
      <c r="E180" s="5" t="s">
        <v>118</v>
      </c>
      <c r="F180" s="5" t="s">
        <v>38</v>
      </c>
      <c r="G180" s="5" t="s">
        <v>48</v>
      </c>
    </row>
    <row r="181" spans="2:7" ht="18" hidden="1">
      <c r="B181" s="55">
        <v>45835</v>
      </c>
      <c r="C181" s="79">
        <v>-15</v>
      </c>
      <c r="D181" s="14" t="s">
        <v>147</v>
      </c>
      <c r="E181" s="5" t="s">
        <v>118</v>
      </c>
      <c r="F181" s="5" t="s">
        <v>38</v>
      </c>
      <c r="G181" s="5" t="s">
        <v>50</v>
      </c>
    </row>
    <row r="182" spans="2:7" ht="18" hidden="1">
      <c r="B182" s="55">
        <v>45835</v>
      </c>
      <c r="C182" s="79">
        <v>-20</v>
      </c>
      <c r="D182" s="14" t="s">
        <v>147</v>
      </c>
      <c r="E182" s="5" t="s">
        <v>118</v>
      </c>
      <c r="F182" s="5" t="s">
        <v>53</v>
      </c>
      <c r="G182" s="5" t="s">
        <v>56</v>
      </c>
    </row>
    <row r="183" spans="2:7" ht="18" hidden="1">
      <c r="B183" s="55">
        <v>45835</v>
      </c>
      <c r="C183" s="79">
        <v>-86.5</v>
      </c>
      <c r="D183" s="14" t="s">
        <v>147</v>
      </c>
      <c r="E183" s="5" t="s">
        <v>118</v>
      </c>
      <c r="F183" s="5" t="s">
        <v>53</v>
      </c>
      <c r="G183" s="5" t="s">
        <v>55</v>
      </c>
    </row>
    <row r="184" spans="2:7" ht="18" hidden="1">
      <c r="B184" s="55">
        <v>45835</v>
      </c>
      <c r="C184" s="79">
        <v>-3</v>
      </c>
      <c r="D184" s="14" t="s">
        <v>95</v>
      </c>
      <c r="E184" s="5" t="s">
        <v>118</v>
      </c>
      <c r="F184" s="5" t="s">
        <v>38</v>
      </c>
      <c r="G184" s="5" t="s">
        <v>51</v>
      </c>
    </row>
    <row r="185" spans="2:7" ht="18" hidden="1">
      <c r="B185" s="55">
        <v>45836</v>
      </c>
      <c r="C185" s="79">
        <v>-35</v>
      </c>
      <c r="D185" s="14" t="s">
        <v>147</v>
      </c>
      <c r="E185" s="5" t="s">
        <v>118</v>
      </c>
      <c r="F185" s="5" t="s">
        <v>38</v>
      </c>
      <c r="G185" s="5" t="s">
        <v>50</v>
      </c>
    </row>
    <row r="186" spans="2:7" ht="18" hidden="1">
      <c r="B186" s="55">
        <v>45839</v>
      </c>
      <c r="C186" s="79">
        <v>-3</v>
      </c>
      <c r="D186" s="14" t="s">
        <v>95</v>
      </c>
      <c r="E186" s="5" t="s">
        <v>118</v>
      </c>
      <c r="F186" s="5" t="s">
        <v>38</v>
      </c>
      <c r="G186" s="5" t="s">
        <v>51</v>
      </c>
    </row>
    <row r="187" spans="2:7" ht="18" hidden="1">
      <c r="B187" s="55">
        <v>45839</v>
      </c>
      <c r="C187" s="79">
        <v>-2</v>
      </c>
      <c r="D187" s="14" t="s">
        <v>147</v>
      </c>
      <c r="E187" s="5" t="s">
        <v>118</v>
      </c>
      <c r="F187" s="5" t="s">
        <v>53</v>
      </c>
      <c r="G187" s="5" t="s">
        <v>55</v>
      </c>
    </row>
    <row r="188" spans="2:7" ht="18" hidden="1">
      <c r="B188" s="55">
        <v>45839</v>
      </c>
      <c r="C188" s="79">
        <v>-21</v>
      </c>
      <c r="D188" s="14" t="s">
        <v>147</v>
      </c>
      <c r="E188" s="5" t="s">
        <v>118</v>
      </c>
      <c r="F188" s="5" t="s">
        <v>53</v>
      </c>
      <c r="G188" s="5" t="s">
        <v>55</v>
      </c>
    </row>
    <row r="189" spans="2:7" ht="18" hidden="1">
      <c r="B189" s="55">
        <v>45839</v>
      </c>
      <c r="C189" s="79">
        <v>7.5999999999999998E-2</v>
      </c>
      <c r="D189" s="14" t="s">
        <v>148</v>
      </c>
      <c r="E189" s="5" t="s">
        <v>34</v>
      </c>
      <c r="F189" s="5" t="s">
        <v>35</v>
      </c>
      <c r="G189" s="5" t="s">
        <v>41</v>
      </c>
    </row>
    <row r="190" spans="2:7" ht="18" hidden="1">
      <c r="B190" s="55">
        <v>45831</v>
      </c>
      <c r="C190" s="79">
        <v>-9.9</v>
      </c>
      <c r="D190" s="14" t="s">
        <v>150</v>
      </c>
      <c r="E190" s="5" t="s">
        <v>118</v>
      </c>
      <c r="F190" s="5" t="s">
        <v>38</v>
      </c>
      <c r="G190" s="5" t="s">
        <v>50</v>
      </c>
    </row>
    <row r="191" spans="2:7" ht="18" hidden="1">
      <c r="B191" s="55">
        <v>45839</v>
      </c>
      <c r="C191" s="79">
        <v>-600</v>
      </c>
      <c r="D191" s="14" t="s">
        <v>148</v>
      </c>
      <c r="E191" s="5" t="s">
        <v>118</v>
      </c>
      <c r="F191" s="5" t="s">
        <v>63</v>
      </c>
      <c r="G191" s="5" t="s">
        <v>65</v>
      </c>
    </row>
    <row r="192" spans="2:7" ht="18" hidden="1">
      <c r="B192" s="55">
        <v>45840</v>
      </c>
      <c r="C192" s="79">
        <v>-65</v>
      </c>
      <c r="D192" s="14" t="s">
        <v>148</v>
      </c>
      <c r="E192" s="5" t="s">
        <v>118</v>
      </c>
      <c r="F192" s="5" t="s">
        <v>53</v>
      </c>
      <c r="G192" s="5" t="s">
        <v>56</v>
      </c>
    </row>
    <row r="193" spans="2:7" ht="18" hidden="1">
      <c r="B193" s="55">
        <v>45840</v>
      </c>
      <c r="C193" s="79">
        <v>-53.514000000000003</v>
      </c>
      <c r="D193" s="14" t="s">
        <v>147</v>
      </c>
      <c r="E193" s="5" t="s">
        <v>118</v>
      </c>
      <c r="F193" s="5" t="s">
        <v>38</v>
      </c>
      <c r="G193" s="5" t="s">
        <v>50</v>
      </c>
    </row>
    <row r="194" spans="2:7" ht="18" hidden="1">
      <c r="B194" s="55">
        <v>45840</v>
      </c>
      <c r="C194" s="79">
        <v>-55.082000000000001</v>
      </c>
      <c r="D194" s="14" t="s">
        <v>147</v>
      </c>
      <c r="E194" s="5" t="s">
        <v>118</v>
      </c>
      <c r="F194" s="5" t="s">
        <v>38</v>
      </c>
      <c r="G194" s="5" t="s">
        <v>50</v>
      </c>
    </row>
    <row r="195" spans="2:7" ht="18" hidden="1">
      <c r="B195" s="55">
        <v>45841</v>
      </c>
      <c r="C195" s="79">
        <v>1000</v>
      </c>
      <c r="D195" s="14" t="s">
        <v>147</v>
      </c>
      <c r="E195" s="5" t="s">
        <v>34</v>
      </c>
      <c r="F195" s="5" t="s">
        <v>35</v>
      </c>
      <c r="G195" s="5" t="s">
        <v>39</v>
      </c>
    </row>
    <row r="196" spans="2:7" ht="18" hidden="1">
      <c r="B196" s="55">
        <v>45841</v>
      </c>
      <c r="C196" s="79">
        <v>-65</v>
      </c>
      <c r="D196" s="14" t="s">
        <v>147</v>
      </c>
      <c r="E196" s="5" t="s">
        <v>118</v>
      </c>
      <c r="F196" s="5" t="s">
        <v>53</v>
      </c>
      <c r="G196" s="5" t="s">
        <v>56</v>
      </c>
    </row>
    <row r="197" spans="2:7" ht="18" hidden="1">
      <c r="B197" s="55">
        <v>45841</v>
      </c>
      <c r="C197" s="79">
        <v>-35</v>
      </c>
      <c r="D197" s="14" t="s">
        <v>147</v>
      </c>
      <c r="E197" s="5" t="s">
        <v>118</v>
      </c>
      <c r="F197" s="5" t="s">
        <v>53</v>
      </c>
      <c r="G197" s="5" t="s">
        <v>56</v>
      </c>
    </row>
    <row r="198" spans="2:7" ht="18" hidden="1">
      <c r="B198" s="55">
        <v>45841</v>
      </c>
      <c r="C198" s="79">
        <v>-30</v>
      </c>
      <c r="D198" s="14" t="s">
        <v>147</v>
      </c>
      <c r="E198" s="5" t="s">
        <v>118</v>
      </c>
      <c r="F198" s="5" t="s">
        <v>53</v>
      </c>
      <c r="G198" s="5" t="s">
        <v>55</v>
      </c>
    </row>
    <row r="199" spans="2:7" ht="18" hidden="1">
      <c r="B199" s="55">
        <v>45842</v>
      </c>
      <c r="C199" s="79">
        <v>-40</v>
      </c>
      <c r="D199" s="14" t="s">
        <v>147</v>
      </c>
      <c r="E199" s="5" t="s">
        <v>118</v>
      </c>
      <c r="F199" s="5" t="s">
        <v>38</v>
      </c>
      <c r="G199" s="5" t="s">
        <v>50</v>
      </c>
    </row>
    <row r="200" spans="2:7" ht="18" hidden="1">
      <c r="B200" s="55">
        <v>45842</v>
      </c>
      <c r="C200" s="79">
        <v>-40</v>
      </c>
      <c r="D200" s="14" t="s">
        <v>147</v>
      </c>
      <c r="E200" s="5" t="s">
        <v>118</v>
      </c>
      <c r="F200" s="5" t="s">
        <v>53</v>
      </c>
      <c r="G200" s="5" t="s">
        <v>56</v>
      </c>
    </row>
    <row r="201" spans="2:7" ht="18" hidden="1">
      <c r="B201" s="55">
        <v>45842</v>
      </c>
      <c r="C201" s="79">
        <v>-140</v>
      </c>
      <c r="D201" s="14" t="s">
        <v>147</v>
      </c>
      <c r="E201" s="5" t="s">
        <v>118</v>
      </c>
      <c r="F201" s="5" t="s">
        <v>53</v>
      </c>
      <c r="G201" s="5" t="s">
        <v>56</v>
      </c>
    </row>
    <row r="202" spans="2:7" ht="18" hidden="1">
      <c r="B202" s="55">
        <v>45842</v>
      </c>
      <c r="C202" s="79">
        <v>-50.646000000000001</v>
      </c>
      <c r="D202" s="14" t="s">
        <v>147</v>
      </c>
      <c r="E202" s="5" t="s">
        <v>118</v>
      </c>
      <c r="F202" s="5" t="s">
        <v>38</v>
      </c>
      <c r="G202" s="5" t="s">
        <v>50</v>
      </c>
    </row>
    <row r="203" spans="2:7" ht="18" hidden="1">
      <c r="B203" s="55">
        <v>45843</v>
      </c>
      <c r="C203" s="79">
        <v>-52</v>
      </c>
      <c r="D203" s="14" t="s">
        <v>147</v>
      </c>
      <c r="E203" s="5" t="s">
        <v>118</v>
      </c>
      <c r="F203" s="5" t="s">
        <v>38</v>
      </c>
      <c r="G203" s="5" t="s">
        <v>48</v>
      </c>
    </row>
    <row r="204" spans="2:7" ht="18" hidden="1">
      <c r="B204" s="55">
        <v>45843</v>
      </c>
      <c r="C204" s="79">
        <v>-150</v>
      </c>
      <c r="D204" s="14" t="s">
        <v>147</v>
      </c>
      <c r="E204" s="5" t="s">
        <v>118</v>
      </c>
      <c r="F204" s="5" t="s">
        <v>38</v>
      </c>
      <c r="G204" s="5" t="s">
        <v>48</v>
      </c>
    </row>
    <row r="205" spans="2:7" ht="18" hidden="1">
      <c r="B205" s="55">
        <v>45843</v>
      </c>
      <c r="C205" s="79">
        <v>-50</v>
      </c>
      <c r="D205" s="14" t="s">
        <v>147</v>
      </c>
      <c r="E205" s="5" t="s">
        <v>118</v>
      </c>
      <c r="F205" s="5" t="s">
        <v>53</v>
      </c>
      <c r="G205" s="5" t="s">
        <v>55</v>
      </c>
    </row>
    <row r="206" spans="2:7" ht="18" hidden="1">
      <c r="B206" s="55">
        <v>45844</v>
      </c>
      <c r="C206" s="79">
        <v>-47</v>
      </c>
      <c r="D206" s="14" t="s">
        <v>147</v>
      </c>
      <c r="E206" s="5" t="s">
        <v>118</v>
      </c>
      <c r="F206" s="5" t="s">
        <v>53</v>
      </c>
      <c r="G206" s="5" t="s">
        <v>55</v>
      </c>
    </row>
    <row r="207" spans="2:7" ht="18" hidden="1">
      <c r="B207" s="55">
        <v>45845</v>
      </c>
      <c r="C207" s="79">
        <v>-39</v>
      </c>
      <c r="D207" s="14" t="s">
        <v>150</v>
      </c>
      <c r="E207" s="5" t="s">
        <v>118</v>
      </c>
      <c r="F207" s="5" t="s">
        <v>53</v>
      </c>
      <c r="G207" s="5" t="s">
        <v>55</v>
      </c>
    </row>
    <row r="208" spans="2:7" ht="18" hidden="1">
      <c r="B208" s="55">
        <v>45846</v>
      </c>
      <c r="C208" s="79">
        <v>-43</v>
      </c>
      <c r="D208" s="14" t="s">
        <v>147</v>
      </c>
      <c r="E208" s="5" t="s">
        <v>118</v>
      </c>
      <c r="F208" s="5" t="s">
        <v>53</v>
      </c>
      <c r="G208" s="5" t="s">
        <v>56</v>
      </c>
    </row>
    <row r="209" spans="2:7" ht="18" hidden="1">
      <c r="B209" s="55">
        <v>45846</v>
      </c>
      <c r="C209" s="79">
        <v>-43</v>
      </c>
      <c r="D209" s="14" t="s">
        <v>147</v>
      </c>
      <c r="E209" s="5" t="s">
        <v>118</v>
      </c>
      <c r="F209" s="5" t="s">
        <v>53</v>
      </c>
      <c r="G209" s="5" t="s">
        <v>56</v>
      </c>
    </row>
    <row r="210" spans="2:7" ht="18" hidden="1">
      <c r="B210" s="55">
        <v>45846</v>
      </c>
      <c r="C210" s="79">
        <v>-25</v>
      </c>
      <c r="D210" s="14" t="s">
        <v>147</v>
      </c>
      <c r="E210" s="5" t="s">
        <v>118</v>
      </c>
      <c r="F210" s="5" t="s">
        <v>53</v>
      </c>
      <c r="G210" s="5" t="s">
        <v>55</v>
      </c>
    </row>
    <row r="211" spans="2:7" ht="18" hidden="1">
      <c r="B211" s="55">
        <v>45847</v>
      </c>
      <c r="C211" s="79">
        <v>-4</v>
      </c>
      <c r="D211" s="14" t="s">
        <v>147</v>
      </c>
      <c r="E211" s="5" t="s">
        <v>118</v>
      </c>
      <c r="F211" s="5" t="s">
        <v>38</v>
      </c>
      <c r="G211" s="5" t="s">
        <v>51</v>
      </c>
    </row>
    <row r="212" spans="2:7" ht="18" hidden="1">
      <c r="B212" s="55">
        <v>45847</v>
      </c>
      <c r="C212" s="79">
        <v>-40.200000000000003</v>
      </c>
      <c r="D212" s="14" t="s">
        <v>147</v>
      </c>
      <c r="E212" s="5" t="s">
        <v>118</v>
      </c>
      <c r="F212" s="5" t="s">
        <v>53</v>
      </c>
      <c r="G212" s="5" t="s">
        <v>55</v>
      </c>
    </row>
    <row r="213" spans="2:7" ht="18" hidden="1">
      <c r="B213" s="55">
        <v>45848</v>
      </c>
      <c r="C213" s="79">
        <v>-40</v>
      </c>
      <c r="D213" s="14" t="s">
        <v>147</v>
      </c>
      <c r="E213" s="5" t="s">
        <v>118</v>
      </c>
      <c r="F213" s="5" t="s">
        <v>53</v>
      </c>
      <c r="G213" s="5" t="s">
        <v>55</v>
      </c>
    </row>
    <row r="214" spans="2:7" ht="18" hidden="1">
      <c r="B214" s="55">
        <v>45848</v>
      </c>
      <c r="C214" s="79">
        <v>-40</v>
      </c>
      <c r="D214" s="14" t="s">
        <v>147</v>
      </c>
      <c r="E214" s="5" t="s">
        <v>118</v>
      </c>
      <c r="F214" s="5" t="s">
        <v>53</v>
      </c>
      <c r="G214" s="5" t="s">
        <v>56</v>
      </c>
    </row>
    <row r="215" spans="2:7" ht="18" hidden="1">
      <c r="B215" s="55">
        <v>45848</v>
      </c>
      <c r="C215" s="79">
        <v>-44.25</v>
      </c>
      <c r="D215" s="14" t="s">
        <v>147</v>
      </c>
      <c r="E215" s="5" t="s">
        <v>118</v>
      </c>
      <c r="F215" s="5" t="s">
        <v>53</v>
      </c>
      <c r="G215" s="5" t="s">
        <v>56</v>
      </c>
    </row>
    <row r="216" spans="2:7" ht="18" hidden="1">
      <c r="B216" s="55">
        <v>45848</v>
      </c>
      <c r="C216" s="79">
        <v>-44.25</v>
      </c>
      <c r="D216" s="14" t="s">
        <v>147</v>
      </c>
      <c r="E216" s="5" t="s">
        <v>118</v>
      </c>
      <c r="F216" s="5" t="s">
        <v>53</v>
      </c>
      <c r="G216" s="5" t="s">
        <v>56</v>
      </c>
    </row>
    <row r="217" spans="2:7" ht="18" hidden="1">
      <c r="B217" s="55">
        <v>45848</v>
      </c>
      <c r="C217" s="79">
        <v>-50.125</v>
      </c>
      <c r="D217" s="14" t="s">
        <v>147</v>
      </c>
      <c r="E217" s="5" t="s">
        <v>118</v>
      </c>
      <c r="F217" s="5" t="s">
        <v>38</v>
      </c>
      <c r="G217" s="5" t="s">
        <v>51</v>
      </c>
    </row>
    <row r="218" spans="2:7" ht="18" hidden="1">
      <c r="B218" s="55">
        <v>45848</v>
      </c>
      <c r="C218" s="79">
        <v>-12</v>
      </c>
      <c r="D218" s="14" t="s">
        <v>147</v>
      </c>
      <c r="E218" s="5" t="s">
        <v>118</v>
      </c>
      <c r="F218" s="5" t="s">
        <v>53</v>
      </c>
      <c r="G218" s="5" t="s">
        <v>55</v>
      </c>
    </row>
    <row r="219" spans="2:7" ht="18" hidden="1">
      <c r="B219" s="55">
        <v>45849</v>
      </c>
      <c r="C219" s="79">
        <v>-96</v>
      </c>
      <c r="D219" s="14" t="s">
        <v>149</v>
      </c>
      <c r="E219" s="5" t="s">
        <v>118</v>
      </c>
      <c r="F219" s="5" t="s">
        <v>53</v>
      </c>
      <c r="G219" s="5" t="s">
        <v>56</v>
      </c>
    </row>
    <row r="220" spans="2:7" ht="18" hidden="1">
      <c r="B220" s="55">
        <v>45849</v>
      </c>
      <c r="C220" s="79">
        <v>-64</v>
      </c>
      <c r="D220" s="14" t="s">
        <v>149</v>
      </c>
      <c r="E220" s="5" t="s">
        <v>118</v>
      </c>
      <c r="F220" s="5" t="s">
        <v>53</v>
      </c>
      <c r="G220" s="5" t="s">
        <v>56</v>
      </c>
    </row>
    <row r="221" spans="2:7" ht="18" hidden="1">
      <c r="B221" s="55">
        <v>45850</v>
      </c>
      <c r="C221" s="79">
        <v>-10.819000000000001</v>
      </c>
      <c r="D221" s="14" t="s">
        <v>147</v>
      </c>
      <c r="E221" s="5" t="s">
        <v>118</v>
      </c>
      <c r="F221" s="5" t="s">
        <v>38</v>
      </c>
      <c r="G221" s="5" t="s">
        <v>51</v>
      </c>
    </row>
    <row r="222" spans="2:7" ht="18" hidden="1">
      <c r="B222" s="55">
        <v>45850</v>
      </c>
      <c r="C222" s="79">
        <v>-89</v>
      </c>
      <c r="D222" s="14" t="s">
        <v>147</v>
      </c>
      <c r="E222" s="5" t="s">
        <v>118</v>
      </c>
      <c r="F222" s="5" t="s">
        <v>53</v>
      </c>
      <c r="G222" s="5" t="s">
        <v>56</v>
      </c>
    </row>
    <row r="223" spans="2:7" ht="18" hidden="1">
      <c r="B223" s="55">
        <v>45851</v>
      </c>
      <c r="C223" s="79">
        <v>-20</v>
      </c>
      <c r="D223" s="14" t="s">
        <v>147</v>
      </c>
      <c r="E223" s="5" t="s">
        <v>118</v>
      </c>
      <c r="F223" s="5" t="s">
        <v>53</v>
      </c>
      <c r="G223" s="5" t="s">
        <v>55</v>
      </c>
    </row>
    <row r="224" spans="2:7" ht="18" hidden="1">
      <c r="B224" s="55">
        <v>45851</v>
      </c>
      <c r="C224" s="79">
        <v>1000</v>
      </c>
      <c r="D224" s="14" t="s">
        <v>147</v>
      </c>
      <c r="E224" s="5" t="s">
        <v>34</v>
      </c>
      <c r="F224" s="5" t="s">
        <v>35</v>
      </c>
      <c r="G224" s="5" t="s">
        <v>39</v>
      </c>
    </row>
    <row r="225" spans="2:7" ht="18" hidden="1">
      <c r="B225" s="55">
        <v>45851</v>
      </c>
      <c r="C225" s="79">
        <v>-50</v>
      </c>
      <c r="D225" s="14" t="s">
        <v>147</v>
      </c>
      <c r="E225" s="5" t="s">
        <v>118</v>
      </c>
      <c r="F225" s="5" t="s">
        <v>53</v>
      </c>
      <c r="G225" s="5" t="s">
        <v>55</v>
      </c>
    </row>
    <row r="226" spans="2:7" ht="18" hidden="1">
      <c r="B226" s="55">
        <v>45853</v>
      </c>
      <c r="C226" s="79">
        <v>-20</v>
      </c>
      <c r="D226" s="14" t="s">
        <v>147</v>
      </c>
      <c r="E226" s="5" t="s">
        <v>118</v>
      </c>
      <c r="F226" s="5" t="s">
        <v>53</v>
      </c>
      <c r="G226" s="5" t="s">
        <v>55</v>
      </c>
    </row>
    <row r="227" spans="2:7" ht="18" hidden="1">
      <c r="B227" s="55">
        <v>45853</v>
      </c>
      <c r="C227" s="79">
        <v>-20</v>
      </c>
      <c r="D227" s="14" t="s">
        <v>147</v>
      </c>
      <c r="E227" s="5" t="s">
        <v>118</v>
      </c>
      <c r="F227" s="5" t="s">
        <v>53</v>
      </c>
      <c r="G227" s="5" t="s">
        <v>56</v>
      </c>
    </row>
    <row r="228" spans="2:7" ht="18" hidden="1">
      <c r="B228" s="55">
        <v>45853</v>
      </c>
      <c r="C228" s="79">
        <v>-20</v>
      </c>
      <c r="D228" s="14" t="s">
        <v>147</v>
      </c>
      <c r="E228" s="5" t="s">
        <v>118</v>
      </c>
      <c r="F228" s="5" t="s">
        <v>53</v>
      </c>
      <c r="G228" s="5" t="s">
        <v>56</v>
      </c>
    </row>
    <row r="229" spans="2:7" ht="18" hidden="1">
      <c r="B229" s="55">
        <v>45854</v>
      </c>
      <c r="C229" s="79">
        <v>-15</v>
      </c>
      <c r="D229" s="14" t="s">
        <v>147</v>
      </c>
      <c r="E229" s="5" t="s">
        <v>118</v>
      </c>
      <c r="F229" s="5" t="s">
        <v>53</v>
      </c>
      <c r="G229" s="5" t="s">
        <v>55</v>
      </c>
    </row>
    <row r="230" spans="2:7" ht="18" hidden="1">
      <c r="B230" s="55">
        <v>45854</v>
      </c>
      <c r="C230" s="79">
        <v>-45.061999999999998</v>
      </c>
      <c r="D230" s="14" t="s">
        <v>147</v>
      </c>
      <c r="E230" s="5" t="s">
        <v>118</v>
      </c>
      <c r="F230" s="5" t="s">
        <v>53</v>
      </c>
      <c r="G230" s="5" t="s">
        <v>55</v>
      </c>
    </row>
    <row r="231" spans="2:7" ht="18" hidden="1">
      <c r="B231" s="55">
        <v>45854</v>
      </c>
      <c r="C231" s="79">
        <v>-85</v>
      </c>
      <c r="D231" s="14" t="s">
        <v>148</v>
      </c>
      <c r="E231" s="5" t="s">
        <v>118</v>
      </c>
      <c r="F231" s="5" t="s">
        <v>53</v>
      </c>
      <c r="G231" s="5" t="s">
        <v>55</v>
      </c>
    </row>
    <row r="232" spans="2:7" ht="18" hidden="1">
      <c r="B232" s="55">
        <v>45854</v>
      </c>
      <c r="C232" s="79">
        <v>-55</v>
      </c>
      <c r="D232" s="14" t="s">
        <v>148</v>
      </c>
      <c r="E232" s="5" t="s">
        <v>118</v>
      </c>
      <c r="F232" s="5" t="s">
        <v>53</v>
      </c>
      <c r="G232" s="5" t="s">
        <v>56</v>
      </c>
    </row>
    <row r="233" spans="2:7" ht="18" hidden="1">
      <c r="B233" s="55">
        <v>45855</v>
      </c>
      <c r="C233" s="79">
        <v>-30</v>
      </c>
      <c r="D233" s="14" t="s">
        <v>147</v>
      </c>
      <c r="E233" s="5" t="s">
        <v>118</v>
      </c>
      <c r="F233" s="5" t="s">
        <v>53</v>
      </c>
      <c r="G233" s="5" t="s">
        <v>55</v>
      </c>
    </row>
    <row r="234" spans="2:7" ht="18" hidden="1">
      <c r="B234" s="55">
        <v>45855</v>
      </c>
      <c r="C234" s="79">
        <v>-1</v>
      </c>
      <c r="D234" s="14" t="s">
        <v>95</v>
      </c>
      <c r="E234" s="5" t="s">
        <v>118</v>
      </c>
      <c r="F234" s="5" t="s">
        <v>38</v>
      </c>
      <c r="G234" s="5" t="s">
        <v>51</v>
      </c>
    </row>
    <row r="235" spans="2:7" ht="18" hidden="1">
      <c r="B235" s="55">
        <v>45855</v>
      </c>
      <c r="C235" s="79">
        <v>-167.5</v>
      </c>
      <c r="D235" s="14" t="s">
        <v>148</v>
      </c>
      <c r="E235" s="5" t="s">
        <v>118</v>
      </c>
      <c r="F235" s="5" t="s">
        <v>53</v>
      </c>
      <c r="G235" s="5" t="s">
        <v>55</v>
      </c>
    </row>
    <row r="236" spans="2:7" ht="18" hidden="1">
      <c r="B236" s="55">
        <v>45855</v>
      </c>
      <c r="C236" s="79">
        <v>-167.5</v>
      </c>
      <c r="D236" s="14" t="s">
        <v>148</v>
      </c>
      <c r="E236" s="5" t="s">
        <v>118</v>
      </c>
      <c r="F236" s="5" t="s">
        <v>53</v>
      </c>
      <c r="G236" s="5" t="s">
        <v>56</v>
      </c>
    </row>
    <row r="237" spans="2:7" ht="18" hidden="1">
      <c r="B237" s="55">
        <v>45856</v>
      </c>
      <c r="C237" s="79">
        <v>-59</v>
      </c>
      <c r="D237" s="14" t="s">
        <v>148</v>
      </c>
      <c r="E237" s="5" t="s">
        <v>118</v>
      </c>
      <c r="F237" s="5" t="s">
        <v>53</v>
      </c>
      <c r="G237" s="5" t="s">
        <v>55</v>
      </c>
    </row>
    <row r="238" spans="2:7" ht="18" hidden="1">
      <c r="B238" s="55">
        <v>45857</v>
      </c>
      <c r="C238" s="79">
        <v>-56</v>
      </c>
      <c r="D238" s="14" t="s">
        <v>148</v>
      </c>
      <c r="E238" s="5" t="s">
        <v>118</v>
      </c>
      <c r="F238" s="5" t="s">
        <v>53</v>
      </c>
      <c r="G238" s="5" t="s">
        <v>55</v>
      </c>
    </row>
    <row r="239" spans="2:7" ht="18" hidden="1">
      <c r="B239" s="55">
        <v>45858</v>
      </c>
      <c r="C239" s="79">
        <v>-47</v>
      </c>
      <c r="D239" s="14" t="s">
        <v>148</v>
      </c>
      <c r="E239" s="5" t="s">
        <v>118</v>
      </c>
      <c r="F239" s="5" t="s">
        <v>53</v>
      </c>
      <c r="G239" s="5" t="s">
        <v>56</v>
      </c>
    </row>
    <row r="240" spans="2:7" ht="18" hidden="1">
      <c r="B240" s="55">
        <v>45858</v>
      </c>
      <c r="C240" s="79">
        <v>-71</v>
      </c>
      <c r="D240" s="14" t="s">
        <v>148</v>
      </c>
      <c r="E240" s="5" t="s">
        <v>118</v>
      </c>
      <c r="F240" s="5" t="s">
        <v>53</v>
      </c>
      <c r="G240" s="5" t="s">
        <v>55</v>
      </c>
    </row>
    <row r="241" spans="2:7" ht="18" hidden="1">
      <c r="B241" s="55">
        <v>45858</v>
      </c>
      <c r="C241" s="79">
        <v>-400</v>
      </c>
      <c r="D241" s="14" t="s">
        <v>148</v>
      </c>
      <c r="E241" s="5" t="s">
        <v>118</v>
      </c>
      <c r="F241" s="5" t="s">
        <v>38</v>
      </c>
      <c r="G241" s="5" t="s">
        <v>51</v>
      </c>
    </row>
    <row r="242" spans="2:7" ht="18" hidden="1">
      <c r="B242" s="55">
        <v>45858</v>
      </c>
      <c r="C242" s="79">
        <v>-30</v>
      </c>
      <c r="D242" s="14" t="s">
        <v>148</v>
      </c>
      <c r="E242" s="5" t="s">
        <v>118</v>
      </c>
      <c r="F242" s="5" t="s">
        <v>53</v>
      </c>
      <c r="G242" s="5" t="s">
        <v>55</v>
      </c>
    </row>
    <row r="243" spans="2:7" ht="18" hidden="1">
      <c r="B243" s="55">
        <v>45870</v>
      </c>
      <c r="C243" s="79">
        <v>1000</v>
      </c>
      <c r="D243" s="14" t="s">
        <v>148</v>
      </c>
      <c r="E243" s="5" t="s">
        <v>34</v>
      </c>
      <c r="F243" s="5" t="s">
        <v>35</v>
      </c>
      <c r="G243" s="5" t="s">
        <v>39</v>
      </c>
    </row>
    <row r="244" spans="2:7" ht="18" hidden="1">
      <c r="B244" s="55">
        <v>45859</v>
      </c>
      <c r="C244" s="79">
        <v>-110</v>
      </c>
      <c r="D244" s="14" t="s">
        <v>148</v>
      </c>
      <c r="E244" s="5" t="s">
        <v>118</v>
      </c>
      <c r="F244" s="5" t="s">
        <v>38</v>
      </c>
      <c r="G244" s="5" t="s">
        <v>50</v>
      </c>
    </row>
    <row r="245" spans="2:7" ht="18" hidden="1">
      <c r="B245" s="55">
        <v>45859</v>
      </c>
      <c r="C245" s="79">
        <v>-45.9</v>
      </c>
      <c r="D245" s="14" t="s">
        <v>147</v>
      </c>
      <c r="E245" s="5" t="s">
        <v>118</v>
      </c>
      <c r="F245" s="5" t="s">
        <v>38</v>
      </c>
      <c r="G245" s="5" t="s">
        <v>50</v>
      </c>
    </row>
    <row r="246" spans="2:7" ht="18" hidden="1">
      <c r="B246" s="55">
        <v>45859</v>
      </c>
      <c r="C246" s="79">
        <v>-12</v>
      </c>
      <c r="D246" s="14" t="s">
        <v>148</v>
      </c>
      <c r="E246" s="5" t="s">
        <v>118</v>
      </c>
      <c r="F246" s="5" t="s">
        <v>38</v>
      </c>
      <c r="G246" s="5" t="s">
        <v>50</v>
      </c>
    </row>
    <row r="247" spans="2:7" ht="18" hidden="1">
      <c r="B247" s="55">
        <v>45859</v>
      </c>
      <c r="C247" s="79">
        <v>-30</v>
      </c>
      <c r="D247" s="14" t="s">
        <v>148</v>
      </c>
      <c r="E247" s="5" t="s">
        <v>118</v>
      </c>
      <c r="F247" s="5" t="s">
        <v>53</v>
      </c>
      <c r="G247" s="5" t="s">
        <v>55</v>
      </c>
    </row>
    <row r="248" spans="2:7" ht="18" hidden="1">
      <c r="B248" s="55">
        <v>45870</v>
      </c>
      <c r="C248" s="79">
        <v>2000</v>
      </c>
      <c r="D248" s="14" t="s">
        <v>147</v>
      </c>
      <c r="E248" s="5" t="s">
        <v>34</v>
      </c>
      <c r="F248" s="5" t="s">
        <v>35</v>
      </c>
      <c r="G248" s="5" t="s">
        <v>39</v>
      </c>
    </row>
    <row r="249" spans="2:7" ht="18" hidden="1">
      <c r="B249" s="55">
        <v>45901</v>
      </c>
      <c r="C249" s="79">
        <v>3000</v>
      </c>
      <c r="D249" s="14" t="s">
        <v>147</v>
      </c>
      <c r="E249" s="5" t="s">
        <v>34</v>
      </c>
      <c r="F249" s="5" t="s">
        <v>35</v>
      </c>
      <c r="G249" s="5" t="s">
        <v>39</v>
      </c>
    </row>
    <row r="250" spans="2:7" ht="18" hidden="1">
      <c r="B250" s="55">
        <v>45861</v>
      </c>
      <c r="C250" s="79">
        <v>-5000</v>
      </c>
      <c r="D250" s="14" t="s">
        <v>147</v>
      </c>
      <c r="E250" s="5" t="s">
        <v>118</v>
      </c>
      <c r="F250" s="5" t="s">
        <v>63</v>
      </c>
      <c r="G250" s="5" t="s">
        <v>65</v>
      </c>
    </row>
    <row r="251" spans="2:7" ht="18" hidden="1">
      <c r="B251" s="55">
        <v>45861</v>
      </c>
      <c r="C251" s="79">
        <v>-30</v>
      </c>
      <c r="D251" s="14" t="s">
        <v>148</v>
      </c>
      <c r="E251" s="5" t="s">
        <v>118</v>
      </c>
      <c r="F251" s="5" t="s">
        <v>38</v>
      </c>
      <c r="G251" s="5" t="s">
        <v>50</v>
      </c>
    </row>
    <row r="252" spans="2:7" ht="18" hidden="1">
      <c r="B252" s="55">
        <v>45862</v>
      </c>
      <c r="C252" s="79">
        <v>-35</v>
      </c>
      <c r="D252" s="14" t="s">
        <v>148</v>
      </c>
      <c r="E252" s="5" t="s">
        <v>118</v>
      </c>
      <c r="F252" s="5" t="s">
        <v>38</v>
      </c>
      <c r="G252" s="5" t="s">
        <v>50</v>
      </c>
    </row>
    <row r="253" spans="2:7" ht="18" hidden="1">
      <c r="B253" s="55">
        <v>45862</v>
      </c>
      <c r="C253" s="79">
        <v>-57.5</v>
      </c>
      <c r="D253" s="14" t="s">
        <v>148</v>
      </c>
      <c r="E253" s="5" t="s">
        <v>118</v>
      </c>
      <c r="F253" s="5" t="s">
        <v>53</v>
      </c>
      <c r="G253" s="5" t="s">
        <v>56</v>
      </c>
    </row>
    <row r="254" spans="2:7" ht="18" hidden="1">
      <c r="B254" s="55">
        <v>45862</v>
      </c>
      <c r="C254" s="79">
        <v>-57.5</v>
      </c>
      <c r="D254" s="14" t="s">
        <v>148</v>
      </c>
      <c r="E254" s="5" t="s">
        <v>118</v>
      </c>
      <c r="F254" s="5" t="s">
        <v>53</v>
      </c>
      <c r="G254" s="5" t="s">
        <v>55</v>
      </c>
    </row>
    <row r="255" spans="2:7" ht="18" hidden="1">
      <c r="B255" s="55">
        <v>45862</v>
      </c>
      <c r="C255" s="79">
        <v>-385</v>
      </c>
      <c r="D255" s="14" t="s">
        <v>148</v>
      </c>
      <c r="E255" s="5" t="s">
        <v>118</v>
      </c>
      <c r="F255" s="5" t="s">
        <v>53</v>
      </c>
      <c r="G255" s="5" t="s">
        <v>55</v>
      </c>
    </row>
    <row r="256" spans="2:7" ht="18" hidden="1">
      <c r="B256" s="55">
        <v>45862</v>
      </c>
      <c r="C256" s="79">
        <v>-12</v>
      </c>
      <c r="D256" s="14" t="s">
        <v>148</v>
      </c>
      <c r="E256" s="5" t="s">
        <v>118</v>
      </c>
      <c r="F256" s="5" t="s">
        <v>53</v>
      </c>
      <c r="G256" s="5" t="s">
        <v>55</v>
      </c>
    </row>
    <row r="257" spans="2:7" ht="18" hidden="1">
      <c r="B257" s="55">
        <v>45863</v>
      </c>
      <c r="C257" s="79">
        <v>-50</v>
      </c>
      <c r="D257" s="14" t="s">
        <v>148</v>
      </c>
      <c r="E257" s="5" t="s">
        <v>118</v>
      </c>
      <c r="F257" s="5" t="s">
        <v>38</v>
      </c>
      <c r="G257" s="5" t="s">
        <v>50</v>
      </c>
    </row>
    <row r="258" spans="2:7" ht="18" hidden="1">
      <c r="B258" s="55">
        <v>45864</v>
      </c>
      <c r="C258" s="79">
        <v>-50</v>
      </c>
      <c r="D258" s="14" t="s">
        <v>147</v>
      </c>
      <c r="E258" s="5" t="s">
        <v>118</v>
      </c>
      <c r="F258" s="5" t="s">
        <v>53</v>
      </c>
      <c r="G258" s="5" t="s">
        <v>55</v>
      </c>
    </row>
    <row r="259" spans="2:7" ht="18" hidden="1">
      <c r="B259" s="55">
        <v>45865</v>
      </c>
      <c r="C259" s="79">
        <v>-85</v>
      </c>
      <c r="D259" s="14" t="s">
        <v>147</v>
      </c>
      <c r="E259" s="5" t="s">
        <v>118</v>
      </c>
      <c r="F259" s="5" t="s">
        <v>53</v>
      </c>
      <c r="G259" s="5" t="s">
        <v>55</v>
      </c>
    </row>
    <row r="260" spans="2:7" ht="18" hidden="1">
      <c r="B260" s="55">
        <v>45865</v>
      </c>
      <c r="C260" s="79">
        <v>-2</v>
      </c>
      <c r="D260" s="14" t="s">
        <v>95</v>
      </c>
      <c r="E260" s="5" t="s">
        <v>118</v>
      </c>
      <c r="F260" s="5" t="s">
        <v>38</v>
      </c>
      <c r="G260" s="5" t="s">
        <v>51</v>
      </c>
    </row>
    <row r="261" spans="2:7" ht="18" hidden="1">
      <c r="B261" s="55">
        <v>45866</v>
      </c>
      <c r="C261" s="79">
        <v>-292</v>
      </c>
      <c r="D261" s="14" t="s">
        <v>147</v>
      </c>
      <c r="E261" s="5" t="s">
        <v>118</v>
      </c>
      <c r="F261" s="5" t="s">
        <v>53</v>
      </c>
      <c r="G261" s="5" t="s">
        <v>55</v>
      </c>
    </row>
    <row r="262" spans="2:7" ht="18" hidden="1">
      <c r="B262" s="55">
        <v>45868</v>
      </c>
      <c r="C262" s="79">
        <v>-90</v>
      </c>
      <c r="D262" s="14" t="s">
        <v>148</v>
      </c>
      <c r="E262" s="5" t="s">
        <v>118</v>
      </c>
      <c r="F262" s="5" t="s">
        <v>53</v>
      </c>
      <c r="G262" s="5" t="s">
        <v>56</v>
      </c>
    </row>
    <row r="263" spans="2:7" ht="18" hidden="1">
      <c r="B263" s="55">
        <v>45868</v>
      </c>
      <c r="C263" s="79">
        <v>-10</v>
      </c>
      <c r="D263" s="14" t="s">
        <v>148</v>
      </c>
      <c r="E263" s="5" t="s">
        <v>118</v>
      </c>
      <c r="F263" s="5" t="s">
        <v>53</v>
      </c>
      <c r="G263" s="5" t="s">
        <v>55</v>
      </c>
    </row>
    <row r="264" spans="2:7" ht="18" hidden="1">
      <c r="B264" s="55">
        <v>45868</v>
      </c>
      <c r="C264" s="79">
        <v>-25</v>
      </c>
      <c r="D264" s="14" t="s">
        <v>147</v>
      </c>
      <c r="E264" s="5" t="s">
        <v>118</v>
      </c>
      <c r="F264" s="5" t="s">
        <v>53</v>
      </c>
      <c r="G264" s="5" t="s">
        <v>55</v>
      </c>
    </row>
    <row r="265" spans="2:7" ht="18" hidden="1">
      <c r="B265" s="55">
        <v>45863</v>
      </c>
      <c r="C265" s="79">
        <v>2.5000000000000001E-2</v>
      </c>
      <c r="D265" s="14" t="s">
        <v>148</v>
      </c>
      <c r="E265" s="5" t="s">
        <v>34</v>
      </c>
      <c r="F265" s="5" t="s">
        <v>36</v>
      </c>
      <c r="G265" s="5" t="s">
        <v>42</v>
      </c>
    </row>
    <row r="266" spans="2:7" ht="18" hidden="1">
      <c r="B266" s="55">
        <v>45869</v>
      </c>
      <c r="C266" s="79">
        <v>-9</v>
      </c>
      <c r="D266" s="14" t="s">
        <v>147</v>
      </c>
      <c r="E266" s="5" t="s">
        <v>118</v>
      </c>
      <c r="F266" s="5" t="s">
        <v>38</v>
      </c>
      <c r="G266" s="5" t="s">
        <v>50</v>
      </c>
    </row>
    <row r="267" spans="2:7" ht="18" hidden="1">
      <c r="B267" s="55">
        <v>45869</v>
      </c>
      <c r="C267" s="79">
        <v>-45.9</v>
      </c>
      <c r="D267" s="14" t="s">
        <v>147</v>
      </c>
      <c r="E267" s="5" t="s">
        <v>118</v>
      </c>
      <c r="F267" s="5" t="s">
        <v>38</v>
      </c>
      <c r="G267" s="5" t="s">
        <v>50</v>
      </c>
    </row>
    <row r="268" spans="2:7" ht="18" hidden="1">
      <c r="B268" s="55">
        <v>45869</v>
      </c>
      <c r="C268" s="79">
        <v>11.272</v>
      </c>
      <c r="D268" s="14" t="s">
        <v>147</v>
      </c>
      <c r="E268" s="5" t="s">
        <v>34</v>
      </c>
      <c r="F268" s="5" t="s">
        <v>36</v>
      </c>
      <c r="G268" s="5" t="s">
        <v>42</v>
      </c>
    </row>
    <row r="269" spans="2:7" ht="18" hidden="1">
      <c r="B269" s="55">
        <v>45869</v>
      </c>
      <c r="C269" s="79">
        <v>-330</v>
      </c>
      <c r="D269" s="14" t="s">
        <v>147</v>
      </c>
      <c r="E269" s="5" t="s">
        <v>118</v>
      </c>
      <c r="F269" s="5" t="s">
        <v>53</v>
      </c>
      <c r="G269" s="5" t="s">
        <v>55</v>
      </c>
    </row>
    <row r="270" spans="2:7" ht="18" hidden="1">
      <c r="B270" s="55">
        <v>45870</v>
      </c>
      <c r="C270" s="79">
        <v>-143</v>
      </c>
      <c r="D270" s="14" t="s">
        <v>148</v>
      </c>
      <c r="E270" s="5" t="s">
        <v>118</v>
      </c>
      <c r="F270" s="5" t="s">
        <v>53</v>
      </c>
      <c r="G270" s="5" t="s">
        <v>55</v>
      </c>
    </row>
    <row r="271" spans="2:7" ht="18" hidden="1">
      <c r="B271" s="55">
        <v>45870</v>
      </c>
      <c r="C271" s="79">
        <v>-38</v>
      </c>
      <c r="D271" s="14" t="s">
        <v>147</v>
      </c>
      <c r="E271" s="5" t="s">
        <v>118</v>
      </c>
      <c r="F271" s="5" t="s">
        <v>53</v>
      </c>
      <c r="G271" s="5" t="s">
        <v>55</v>
      </c>
    </row>
    <row r="272" spans="2:7" ht="18" hidden="1">
      <c r="B272" s="55">
        <v>45870</v>
      </c>
      <c r="C272" s="79">
        <v>-52</v>
      </c>
      <c r="D272" s="14" t="s">
        <v>147</v>
      </c>
      <c r="E272" s="5" t="s">
        <v>118</v>
      </c>
      <c r="F272" s="5" t="s">
        <v>38</v>
      </c>
      <c r="G272" s="5" t="s">
        <v>50</v>
      </c>
    </row>
    <row r="273" spans="2:7" ht="18" hidden="1">
      <c r="B273" s="55">
        <v>45870</v>
      </c>
      <c r="C273" s="79">
        <v>-30</v>
      </c>
      <c r="D273" s="14" t="s">
        <v>147</v>
      </c>
      <c r="E273" s="5" t="s">
        <v>118</v>
      </c>
      <c r="F273" s="5" t="s">
        <v>38</v>
      </c>
      <c r="G273" s="5" t="s">
        <v>50</v>
      </c>
    </row>
    <row r="274" spans="2:7" ht="18" hidden="1">
      <c r="B274" s="55">
        <v>45870</v>
      </c>
      <c r="C274" s="79">
        <v>2000</v>
      </c>
      <c r="D274" s="14" t="s">
        <v>147</v>
      </c>
      <c r="E274" s="5" t="s">
        <v>34</v>
      </c>
      <c r="F274" s="5" t="s">
        <v>35</v>
      </c>
      <c r="G274" s="5" t="s">
        <v>39</v>
      </c>
    </row>
    <row r="275" spans="2:7" ht="18" hidden="1">
      <c r="B275" s="55">
        <v>45871</v>
      </c>
      <c r="C275" s="79">
        <v>-377</v>
      </c>
      <c r="D275" s="14" t="s">
        <v>147</v>
      </c>
      <c r="E275" s="5" t="s">
        <v>118</v>
      </c>
      <c r="F275" s="5" t="s">
        <v>53</v>
      </c>
      <c r="G275" s="5" t="s">
        <v>56</v>
      </c>
    </row>
    <row r="276" spans="2:7" ht="18" hidden="1">
      <c r="B276" s="55">
        <v>45871</v>
      </c>
      <c r="C276" s="79">
        <v>-277</v>
      </c>
      <c r="D276" s="14" t="s">
        <v>147</v>
      </c>
      <c r="E276" s="5" t="s">
        <v>118</v>
      </c>
      <c r="F276" s="5" t="s">
        <v>53</v>
      </c>
      <c r="G276" s="5" t="s">
        <v>55</v>
      </c>
    </row>
    <row r="277" spans="2:7" ht="18" hidden="1">
      <c r="B277" s="55">
        <v>45872</v>
      </c>
      <c r="C277" s="79">
        <v>500</v>
      </c>
      <c r="D277" s="14" t="s">
        <v>95</v>
      </c>
      <c r="E277" s="5" t="s">
        <v>34</v>
      </c>
      <c r="F277" s="5" t="s">
        <v>35</v>
      </c>
      <c r="G277" s="5" t="s">
        <v>39</v>
      </c>
    </row>
    <row r="278" spans="2:7" ht="18" hidden="1">
      <c r="B278" s="55">
        <v>45873</v>
      </c>
      <c r="C278" s="79">
        <v>-65</v>
      </c>
      <c r="D278" s="14" t="s">
        <v>147</v>
      </c>
      <c r="E278" s="5" t="s">
        <v>118</v>
      </c>
      <c r="F278" s="5" t="s">
        <v>53</v>
      </c>
      <c r="G278" s="5" t="s">
        <v>56</v>
      </c>
    </row>
    <row r="279" spans="2:7" ht="18" hidden="1">
      <c r="B279" s="55">
        <v>45873</v>
      </c>
      <c r="C279" s="79">
        <v>-65</v>
      </c>
      <c r="D279" s="14" t="s">
        <v>147</v>
      </c>
      <c r="E279" s="5" t="s">
        <v>118</v>
      </c>
      <c r="F279" s="5" t="s">
        <v>53</v>
      </c>
      <c r="G279" s="5" t="s">
        <v>56</v>
      </c>
    </row>
    <row r="280" spans="2:7" ht="18" hidden="1">
      <c r="B280" s="55">
        <v>45873</v>
      </c>
      <c r="C280" s="79">
        <v>-39.226999999999997</v>
      </c>
      <c r="D280" s="14" t="s">
        <v>147</v>
      </c>
      <c r="E280" s="5" t="s">
        <v>118</v>
      </c>
      <c r="F280" s="5" t="s">
        <v>38</v>
      </c>
      <c r="G280" s="5" t="s">
        <v>51</v>
      </c>
    </row>
    <row r="281" spans="2:7" ht="18" hidden="1">
      <c r="B281" s="55">
        <v>45873</v>
      </c>
      <c r="C281" s="79">
        <v>-49.5</v>
      </c>
      <c r="D281" s="14" t="s">
        <v>147</v>
      </c>
      <c r="E281" s="5" t="s">
        <v>118</v>
      </c>
      <c r="F281" s="5" t="s">
        <v>53</v>
      </c>
      <c r="G281" s="5" t="s">
        <v>56</v>
      </c>
    </row>
    <row r="282" spans="2:7" ht="18" hidden="1">
      <c r="B282" s="55">
        <v>45873</v>
      </c>
      <c r="C282" s="79">
        <v>-49.5</v>
      </c>
      <c r="D282" s="14" t="s">
        <v>147</v>
      </c>
      <c r="E282" s="5" t="s">
        <v>118</v>
      </c>
      <c r="F282" s="5" t="s">
        <v>53</v>
      </c>
      <c r="G282" s="5" t="s">
        <v>55</v>
      </c>
    </row>
    <row r="283" spans="2:7" ht="18" hidden="1">
      <c r="B283" s="55">
        <v>45874</v>
      </c>
      <c r="C283" s="79">
        <v>-50</v>
      </c>
      <c r="D283" s="14" t="s">
        <v>147</v>
      </c>
      <c r="E283" s="5" t="s">
        <v>118</v>
      </c>
      <c r="F283" s="5" t="s">
        <v>53</v>
      </c>
      <c r="G283" s="5" t="s">
        <v>56</v>
      </c>
    </row>
    <row r="284" spans="2:7" ht="18" hidden="1">
      <c r="B284" s="55">
        <v>45875</v>
      </c>
      <c r="C284" s="79">
        <v>-85</v>
      </c>
      <c r="D284" s="14" t="s">
        <v>147</v>
      </c>
      <c r="E284" s="5" t="s">
        <v>118</v>
      </c>
      <c r="F284" s="5" t="s">
        <v>38</v>
      </c>
      <c r="G284" s="5" t="s">
        <v>51</v>
      </c>
    </row>
    <row r="285" spans="2:7" ht="18" hidden="1">
      <c r="B285" s="55">
        <v>45875</v>
      </c>
      <c r="C285" s="79">
        <v>-500</v>
      </c>
      <c r="D285" s="14" t="s">
        <v>147</v>
      </c>
      <c r="E285" s="5" t="s">
        <v>118</v>
      </c>
      <c r="F285" s="5" t="s">
        <v>53</v>
      </c>
      <c r="G285" s="5" t="s">
        <v>56</v>
      </c>
    </row>
    <row r="286" spans="2:7" ht="18" hidden="1">
      <c r="B286" s="55">
        <v>45875</v>
      </c>
      <c r="C286" s="79">
        <v>-40</v>
      </c>
      <c r="D286" s="14" t="s">
        <v>147</v>
      </c>
      <c r="E286" s="5" t="s">
        <v>118</v>
      </c>
      <c r="F286" s="5" t="s">
        <v>38</v>
      </c>
      <c r="G286" s="5" t="s">
        <v>51</v>
      </c>
    </row>
    <row r="287" spans="2:7" ht="18" hidden="1">
      <c r="B287" s="55">
        <v>45876</v>
      </c>
      <c r="C287" s="79">
        <v>-10</v>
      </c>
      <c r="D287" s="14" t="s">
        <v>147</v>
      </c>
      <c r="E287" s="5" t="s">
        <v>118</v>
      </c>
      <c r="F287" s="5" t="s">
        <v>53</v>
      </c>
      <c r="G287" s="5" t="s">
        <v>56</v>
      </c>
    </row>
    <row r="288" spans="2:7" ht="18" hidden="1">
      <c r="B288" s="55">
        <v>45876</v>
      </c>
      <c r="C288" s="79">
        <v>-50</v>
      </c>
      <c r="D288" s="14" t="s">
        <v>147</v>
      </c>
      <c r="E288" s="5" t="s">
        <v>118</v>
      </c>
      <c r="F288" s="5" t="s">
        <v>38</v>
      </c>
      <c r="G288" s="5" t="s">
        <v>51</v>
      </c>
    </row>
    <row r="289" spans="2:7" ht="18" hidden="1">
      <c r="B289" s="55">
        <v>45876</v>
      </c>
      <c r="C289" s="79">
        <v>-180</v>
      </c>
      <c r="D289" s="14" t="s">
        <v>95</v>
      </c>
      <c r="E289" s="5" t="s">
        <v>118</v>
      </c>
      <c r="F289" s="5" t="s">
        <v>53</v>
      </c>
      <c r="G289" s="5" t="s">
        <v>55</v>
      </c>
    </row>
    <row r="290" spans="2:7" ht="18" hidden="1">
      <c r="B290" s="55">
        <v>45877</v>
      </c>
      <c r="C290" s="79">
        <v>-200</v>
      </c>
      <c r="D290" s="14" t="s">
        <v>148</v>
      </c>
      <c r="E290" s="5" t="s">
        <v>118</v>
      </c>
      <c r="F290" s="5" t="s">
        <v>63</v>
      </c>
      <c r="G290" s="5" t="s">
        <v>65</v>
      </c>
    </row>
    <row r="291" spans="2:7" ht="18" hidden="1">
      <c r="B291" s="55">
        <v>45877</v>
      </c>
      <c r="C291" s="79">
        <v>-200</v>
      </c>
      <c r="D291" s="14" t="s">
        <v>148</v>
      </c>
      <c r="E291" s="5" t="s">
        <v>118</v>
      </c>
      <c r="F291" s="5" t="s">
        <v>63</v>
      </c>
      <c r="G291" s="5" t="s">
        <v>65</v>
      </c>
    </row>
    <row r="292" spans="2:7" ht="18" hidden="1">
      <c r="B292" s="55">
        <v>45876</v>
      </c>
      <c r="C292" s="79">
        <v>-80</v>
      </c>
      <c r="D292" s="14" t="s">
        <v>148</v>
      </c>
      <c r="E292" s="5" t="s">
        <v>118</v>
      </c>
      <c r="F292" s="5" t="s">
        <v>53</v>
      </c>
      <c r="G292" s="5" t="s">
        <v>56</v>
      </c>
    </row>
    <row r="293" spans="2:7" ht="18" hidden="1">
      <c r="B293" s="55">
        <v>45880</v>
      </c>
      <c r="C293" s="79">
        <v>-57.058999999999997</v>
      </c>
      <c r="D293" s="14" t="s">
        <v>148</v>
      </c>
      <c r="E293" s="5" t="s">
        <v>118</v>
      </c>
      <c r="F293" s="5" t="s">
        <v>38</v>
      </c>
      <c r="G293" s="5" t="s">
        <v>51</v>
      </c>
    </row>
    <row r="294" spans="2:7" ht="18" hidden="1">
      <c r="B294" s="55">
        <v>45880</v>
      </c>
      <c r="C294" s="79">
        <v>-25</v>
      </c>
      <c r="D294" s="14" t="s">
        <v>148</v>
      </c>
      <c r="E294" s="5" t="s">
        <v>118</v>
      </c>
      <c r="F294" s="5" t="s">
        <v>38</v>
      </c>
      <c r="G294" s="5" t="s">
        <v>50</v>
      </c>
    </row>
    <row r="295" spans="2:7" ht="18" hidden="1">
      <c r="B295" s="55">
        <v>45882</v>
      </c>
      <c r="C295" s="79">
        <v>-45</v>
      </c>
      <c r="D295" s="14" t="s">
        <v>147</v>
      </c>
      <c r="E295" s="5" t="s">
        <v>118</v>
      </c>
      <c r="F295" s="5" t="s">
        <v>53</v>
      </c>
      <c r="G295" s="5" t="s">
        <v>56</v>
      </c>
    </row>
    <row r="296" spans="2:7" ht="18" hidden="1">
      <c r="B296" s="55">
        <v>45882</v>
      </c>
      <c r="C296" s="79">
        <v>-57.5</v>
      </c>
      <c r="D296" s="14" t="s">
        <v>148</v>
      </c>
      <c r="E296" s="5" t="s">
        <v>118</v>
      </c>
      <c r="F296" s="5" t="s">
        <v>53</v>
      </c>
      <c r="G296" s="5" t="s">
        <v>56</v>
      </c>
    </row>
    <row r="297" spans="2:7" ht="18" hidden="1">
      <c r="B297" s="55">
        <v>45882</v>
      </c>
      <c r="C297" s="79">
        <v>-35</v>
      </c>
      <c r="D297" s="14" t="s">
        <v>148</v>
      </c>
      <c r="E297" s="5" t="s">
        <v>118</v>
      </c>
      <c r="F297" s="5" t="s">
        <v>53</v>
      </c>
      <c r="G297" s="5" t="s">
        <v>55</v>
      </c>
    </row>
    <row r="298" spans="2:7" ht="18" hidden="1">
      <c r="B298" s="55">
        <v>45882</v>
      </c>
      <c r="C298" s="79">
        <v>-45</v>
      </c>
      <c r="D298" s="14" t="s">
        <v>147</v>
      </c>
      <c r="E298" s="5" t="s">
        <v>118</v>
      </c>
      <c r="F298" s="5" t="s">
        <v>53</v>
      </c>
      <c r="G298" s="5" t="s">
        <v>56</v>
      </c>
    </row>
    <row r="299" spans="2:7" ht="18" hidden="1">
      <c r="B299" s="55">
        <v>45882</v>
      </c>
      <c r="C299" s="79">
        <v>-92.5</v>
      </c>
      <c r="D299" s="14" t="s">
        <v>148</v>
      </c>
      <c r="E299" s="5" t="s">
        <v>118</v>
      </c>
      <c r="F299" s="5" t="s">
        <v>53</v>
      </c>
      <c r="G299" s="5" t="s">
        <v>55</v>
      </c>
    </row>
    <row r="300" spans="2:7" ht="18" hidden="1">
      <c r="B300" s="55">
        <v>45883</v>
      </c>
      <c r="C300" s="79">
        <v>-125</v>
      </c>
      <c r="D300" s="14" t="s">
        <v>95</v>
      </c>
      <c r="E300" s="5" t="s">
        <v>118</v>
      </c>
      <c r="F300" s="5" t="s">
        <v>38</v>
      </c>
      <c r="G300" s="5" t="s">
        <v>51</v>
      </c>
    </row>
    <row r="301" spans="2:7" ht="18" hidden="1">
      <c r="B301" s="55">
        <v>45883</v>
      </c>
      <c r="C301" s="79">
        <v>-1</v>
      </c>
      <c r="D301" s="14" t="s">
        <v>95</v>
      </c>
      <c r="E301" s="5" t="s">
        <v>118</v>
      </c>
      <c r="F301" s="5" t="s">
        <v>38</v>
      </c>
      <c r="G301" s="5" t="s">
        <v>51</v>
      </c>
    </row>
    <row r="302" spans="2:7" ht="18" hidden="1">
      <c r="B302" s="55">
        <v>45884</v>
      </c>
      <c r="C302" s="79">
        <v>-55</v>
      </c>
      <c r="D302" s="14" t="s">
        <v>95</v>
      </c>
      <c r="E302" s="5" t="s">
        <v>118</v>
      </c>
      <c r="F302" s="5" t="s">
        <v>38</v>
      </c>
      <c r="G302" s="5" t="s">
        <v>51</v>
      </c>
    </row>
    <row r="303" spans="2:7" ht="18" hidden="1">
      <c r="B303" s="55">
        <v>45885</v>
      </c>
      <c r="C303" s="79">
        <v>-90</v>
      </c>
      <c r="D303" s="14" t="s">
        <v>95</v>
      </c>
      <c r="E303" s="5" t="s">
        <v>118</v>
      </c>
      <c r="F303" s="5" t="s">
        <v>53</v>
      </c>
      <c r="G303" s="5" t="s">
        <v>55</v>
      </c>
    </row>
    <row r="304" spans="2:7" ht="18" hidden="1">
      <c r="B304" s="55">
        <v>45885</v>
      </c>
      <c r="C304" s="79">
        <v>-140</v>
      </c>
      <c r="D304" s="14" t="s">
        <v>148</v>
      </c>
      <c r="E304" s="5" t="s">
        <v>118</v>
      </c>
      <c r="F304" s="5" t="s">
        <v>38</v>
      </c>
      <c r="G304" s="5" t="s">
        <v>48</v>
      </c>
    </row>
    <row r="305" spans="2:7" ht="18" hidden="1">
      <c r="B305" s="55">
        <v>45886</v>
      </c>
      <c r="C305" s="79">
        <v>0.02</v>
      </c>
      <c r="D305" s="14" t="s">
        <v>147</v>
      </c>
      <c r="E305" s="5" t="s">
        <v>34</v>
      </c>
      <c r="F305" s="5" t="s">
        <v>36</v>
      </c>
      <c r="G305" s="5" t="s">
        <v>42</v>
      </c>
    </row>
    <row r="306" spans="2:7" ht="18" hidden="1">
      <c r="B306" s="55">
        <v>45886</v>
      </c>
      <c r="C306" s="79">
        <v>-35</v>
      </c>
      <c r="D306" s="14" t="s">
        <v>147</v>
      </c>
      <c r="E306" s="5" t="s">
        <v>118</v>
      </c>
      <c r="F306" s="5" t="s">
        <v>38</v>
      </c>
      <c r="G306" s="5" t="s">
        <v>50</v>
      </c>
    </row>
    <row r="307" spans="2:7" ht="18" hidden="1">
      <c r="B307" s="55">
        <v>45886</v>
      </c>
      <c r="C307" s="79">
        <v>-75</v>
      </c>
      <c r="D307" s="14" t="s">
        <v>148</v>
      </c>
      <c r="E307" s="5" t="s">
        <v>118</v>
      </c>
      <c r="F307" s="5" t="s">
        <v>53</v>
      </c>
      <c r="G307" s="5" t="s">
        <v>56</v>
      </c>
    </row>
    <row r="308" spans="2:7" ht="18" hidden="1">
      <c r="B308" s="55">
        <v>45886</v>
      </c>
      <c r="C308" s="79">
        <v>-30</v>
      </c>
      <c r="D308" s="14" t="s">
        <v>148</v>
      </c>
      <c r="E308" s="5" t="s">
        <v>118</v>
      </c>
      <c r="F308" s="5" t="s">
        <v>38</v>
      </c>
      <c r="G308" s="5" t="s">
        <v>51</v>
      </c>
    </row>
    <row r="309" spans="2:7" ht="18" hidden="1">
      <c r="B309" s="55">
        <v>45886</v>
      </c>
      <c r="C309" s="79">
        <v>-45</v>
      </c>
      <c r="D309" s="14" t="s">
        <v>148</v>
      </c>
      <c r="E309" s="5" t="s">
        <v>118</v>
      </c>
      <c r="F309" s="5" t="s">
        <v>53</v>
      </c>
      <c r="G309" s="5" t="s">
        <v>56</v>
      </c>
    </row>
    <row r="310" spans="2:7" ht="18" hidden="1">
      <c r="B310" s="55">
        <v>45888</v>
      </c>
      <c r="C310" s="79">
        <v>-118</v>
      </c>
      <c r="D310" s="14" t="s">
        <v>148</v>
      </c>
      <c r="E310" s="5" t="s">
        <v>118</v>
      </c>
      <c r="F310" s="5" t="s">
        <v>53</v>
      </c>
      <c r="G310" s="5" t="s">
        <v>56</v>
      </c>
    </row>
    <row r="311" spans="2:7" ht="18" hidden="1">
      <c r="B311" s="55">
        <v>45888</v>
      </c>
      <c r="C311" s="79">
        <v>-57</v>
      </c>
      <c r="D311" s="14" t="s">
        <v>147</v>
      </c>
      <c r="E311" s="5" t="s">
        <v>118</v>
      </c>
      <c r="F311" s="5" t="s">
        <v>38</v>
      </c>
      <c r="G311" s="5" t="s">
        <v>51</v>
      </c>
    </row>
    <row r="312" spans="2:7" ht="18" hidden="1">
      <c r="B312" s="55">
        <v>45888</v>
      </c>
      <c r="C312" s="79">
        <v>-58</v>
      </c>
      <c r="D312" s="14" t="s">
        <v>148</v>
      </c>
      <c r="E312" s="5" t="s">
        <v>118</v>
      </c>
      <c r="F312" s="5" t="s">
        <v>53</v>
      </c>
      <c r="G312" s="5" t="s">
        <v>56</v>
      </c>
    </row>
    <row r="313" spans="2:7" ht="18" hidden="1">
      <c r="B313" s="55">
        <v>45888</v>
      </c>
      <c r="C313" s="79">
        <v>-58</v>
      </c>
      <c r="D313" s="14" t="s">
        <v>148</v>
      </c>
      <c r="E313" s="5" t="s">
        <v>118</v>
      </c>
      <c r="F313" s="5" t="s">
        <v>53</v>
      </c>
      <c r="G313" s="5" t="s">
        <v>56</v>
      </c>
    </row>
    <row r="314" spans="2:7" ht="18" hidden="1">
      <c r="B314" s="55">
        <v>45891</v>
      </c>
      <c r="C314" s="79">
        <v>-50</v>
      </c>
      <c r="D314" s="14" t="s">
        <v>147</v>
      </c>
      <c r="E314" s="5" t="s">
        <v>118</v>
      </c>
      <c r="F314" s="5" t="s">
        <v>38</v>
      </c>
      <c r="G314" s="5" t="s">
        <v>51</v>
      </c>
    </row>
    <row r="315" spans="2:7" ht="18" hidden="1">
      <c r="B315" s="55">
        <v>45893</v>
      </c>
      <c r="C315" s="79">
        <v>-55</v>
      </c>
      <c r="D315" s="14" t="s">
        <v>147</v>
      </c>
      <c r="E315" s="5" t="s">
        <v>118</v>
      </c>
      <c r="F315" s="5" t="s">
        <v>38</v>
      </c>
      <c r="G315" s="5" t="s">
        <v>51</v>
      </c>
    </row>
    <row r="316" spans="2:7" ht="18" hidden="1">
      <c r="B316" s="55">
        <v>45893</v>
      </c>
      <c r="C316" s="79">
        <v>-15</v>
      </c>
      <c r="D316" s="14" t="s">
        <v>147</v>
      </c>
      <c r="E316" s="5" t="s">
        <v>118</v>
      </c>
      <c r="F316" s="5" t="s">
        <v>53</v>
      </c>
      <c r="G316" s="5" t="s">
        <v>55</v>
      </c>
    </row>
    <row r="317" spans="2:7" ht="18" hidden="1">
      <c r="B317" s="55">
        <v>45892</v>
      </c>
      <c r="C317" s="79">
        <v>-200</v>
      </c>
      <c r="D317" s="14" t="s">
        <v>148</v>
      </c>
      <c r="E317" s="5" t="s">
        <v>118</v>
      </c>
      <c r="F317" s="5" t="s">
        <v>53</v>
      </c>
      <c r="G317" s="5" t="s">
        <v>56</v>
      </c>
    </row>
    <row r="318" spans="2:7" ht="18" hidden="1">
      <c r="B318" s="55">
        <v>45893</v>
      </c>
      <c r="C318" s="79">
        <v>-40</v>
      </c>
      <c r="D318" s="14" t="s">
        <v>148</v>
      </c>
      <c r="E318" s="5" t="s">
        <v>118</v>
      </c>
      <c r="F318" s="5" t="s">
        <v>53</v>
      </c>
      <c r="G318" s="5" t="s">
        <v>55</v>
      </c>
    </row>
    <row r="319" spans="2:7" ht="18" hidden="1">
      <c r="B319" s="55">
        <v>45894</v>
      </c>
      <c r="C319" s="79">
        <v>-197</v>
      </c>
      <c r="D319" s="14" t="s">
        <v>148</v>
      </c>
      <c r="E319" s="5" t="s">
        <v>118</v>
      </c>
      <c r="F319" s="5" t="s">
        <v>38</v>
      </c>
      <c r="G319" s="5" t="s">
        <v>48</v>
      </c>
    </row>
    <row r="320" spans="2:7" ht="18" hidden="1">
      <c r="B320" s="55">
        <v>45896</v>
      </c>
      <c r="C320" s="79">
        <v>-57</v>
      </c>
      <c r="D320" s="14" t="s">
        <v>148</v>
      </c>
      <c r="E320" s="5" t="s">
        <v>118</v>
      </c>
      <c r="F320" s="5" t="s">
        <v>53</v>
      </c>
      <c r="G320" s="5" t="s">
        <v>56</v>
      </c>
    </row>
    <row r="321" spans="2:7" ht="18" hidden="1">
      <c r="B321" s="55">
        <v>45896</v>
      </c>
      <c r="C321" s="79">
        <v>-57</v>
      </c>
      <c r="D321" s="14" t="s">
        <v>148</v>
      </c>
      <c r="E321" s="5" t="s">
        <v>118</v>
      </c>
      <c r="F321" s="5" t="s">
        <v>53</v>
      </c>
      <c r="G321" s="5" t="s">
        <v>55</v>
      </c>
    </row>
    <row r="322" spans="2:7" ht="18" hidden="1">
      <c r="B322" s="55">
        <v>45897</v>
      </c>
      <c r="C322" s="79">
        <v>-55.073999999999998</v>
      </c>
      <c r="D322" s="14" t="s">
        <v>147</v>
      </c>
      <c r="E322" s="5" t="s">
        <v>118</v>
      </c>
      <c r="F322" s="5" t="s">
        <v>38</v>
      </c>
      <c r="G322" s="5" t="s">
        <v>51</v>
      </c>
    </row>
    <row r="323" spans="2:7" ht="18" hidden="1">
      <c r="B323" s="55">
        <v>45897</v>
      </c>
      <c r="C323" s="79">
        <v>-5</v>
      </c>
      <c r="D323" s="14" t="s">
        <v>147</v>
      </c>
      <c r="E323" s="5" t="s">
        <v>118</v>
      </c>
      <c r="F323" s="5" t="s">
        <v>38</v>
      </c>
      <c r="G323" s="5" t="s">
        <v>51</v>
      </c>
    </row>
    <row r="324" spans="2:7" ht="18" hidden="1">
      <c r="B324" s="55">
        <v>45897</v>
      </c>
      <c r="C324" s="79">
        <v>-35</v>
      </c>
      <c r="D324" s="14" t="s">
        <v>147</v>
      </c>
      <c r="E324" s="5" t="s">
        <v>118</v>
      </c>
      <c r="F324" s="5" t="s">
        <v>53</v>
      </c>
      <c r="G324" s="5" t="s">
        <v>55</v>
      </c>
    </row>
    <row r="325" spans="2:7" ht="18" hidden="1">
      <c r="B325" s="55">
        <v>45897</v>
      </c>
      <c r="C325" s="79">
        <v>-80</v>
      </c>
      <c r="D325" s="14" t="s">
        <v>148</v>
      </c>
      <c r="E325" s="5" t="s">
        <v>118</v>
      </c>
      <c r="F325" s="5" t="s">
        <v>53</v>
      </c>
      <c r="G325" s="5" t="s">
        <v>56</v>
      </c>
    </row>
    <row r="326" spans="2:7" ht="18" hidden="1">
      <c r="B326" s="55">
        <v>45898</v>
      </c>
      <c r="C326" s="79">
        <v>-160.4</v>
      </c>
      <c r="D326" s="14" t="s">
        <v>148</v>
      </c>
      <c r="E326" s="5" t="s">
        <v>118</v>
      </c>
      <c r="F326" s="5" t="s">
        <v>38</v>
      </c>
      <c r="G326" s="5" t="s">
        <v>48</v>
      </c>
    </row>
    <row r="327" spans="2:7" ht="18" hidden="1">
      <c r="B327" s="55">
        <v>45898</v>
      </c>
      <c r="C327" s="79">
        <v>-15</v>
      </c>
      <c r="D327" s="14" t="s">
        <v>147</v>
      </c>
      <c r="E327" s="5" t="s">
        <v>118</v>
      </c>
      <c r="F327" s="5" t="s">
        <v>53</v>
      </c>
      <c r="G327" s="5" t="s">
        <v>56</v>
      </c>
    </row>
    <row r="328" spans="2:7" ht="18" hidden="1">
      <c r="B328" s="55">
        <v>45931</v>
      </c>
      <c r="C328" s="79">
        <v>3000</v>
      </c>
      <c r="D328" s="14" t="s">
        <v>147</v>
      </c>
      <c r="E328" s="5" t="s">
        <v>34</v>
      </c>
      <c r="F328" s="5" t="s">
        <v>35</v>
      </c>
      <c r="G328" s="5" t="s">
        <v>39</v>
      </c>
    </row>
    <row r="329" spans="2:7" ht="18" hidden="1">
      <c r="B329" s="55">
        <v>45900</v>
      </c>
      <c r="C329" s="79">
        <v>2000</v>
      </c>
      <c r="D329" s="14" t="s">
        <v>147</v>
      </c>
      <c r="E329" s="5" t="s">
        <v>34</v>
      </c>
      <c r="F329" s="5" t="s">
        <v>35</v>
      </c>
      <c r="G329" s="5" t="s">
        <v>39</v>
      </c>
    </row>
    <row r="330" spans="2:7" ht="18" hidden="1">
      <c r="B330" s="55">
        <v>45894</v>
      </c>
      <c r="C330" s="79">
        <v>5.7000000000000002E-2</v>
      </c>
      <c r="D330" s="14" t="s">
        <v>148</v>
      </c>
      <c r="E330" s="5" t="s">
        <v>34</v>
      </c>
      <c r="F330" s="5" t="s">
        <v>36</v>
      </c>
      <c r="G330" s="5" t="s">
        <v>42</v>
      </c>
    </row>
    <row r="331" spans="2:7" ht="18" hidden="1">
      <c r="B331" s="55">
        <v>45900</v>
      </c>
      <c r="C331" s="79">
        <v>-3000</v>
      </c>
      <c r="D331" s="14" t="s">
        <v>147</v>
      </c>
      <c r="E331" s="5" t="s">
        <v>118</v>
      </c>
      <c r="F331" s="5" t="s">
        <v>63</v>
      </c>
      <c r="G331" s="5" t="s">
        <v>65</v>
      </c>
    </row>
    <row r="332" spans="2:7" ht="18" hidden="1">
      <c r="B332" s="55">
        <v>45900</v>
      </c>
      <c r="C332" s="79">
        <v>-500</v>
      </c>
      <c r="D332" s="14" t="s">
        <v>147</v>
      </c>
      <c r="E332" s="5" t="s">
        <v>118</v>
      </c>
      <c r="F332" s="5" t="s">
        <v>63</v>
      </c>
      <c r="G332" s="5" t="s">
        <v>65</v>
      </c>
    </row>
    <row r="333" spans="2:7" ht="18" hidden="1">
      <c r="B333" s="55">
        <v>45901</v>
      </c>
      <c r="C333" s="79">
        <v>-68</v>
      </c>
      <c r="D333" s="14" t="s">
        <v>147</v>
      </c>
      <c r="E333" s="5" t="s">
        <v>118</v>
      </c>
      <c r="F333" s="5" t="s">
        <v>53</v>
      </c>
      <c r="G333" s="5" t="s">
        <v>55</v>
      </c>
    </row>
    <row r="334" spans="2:7" ht="18" hidden="1">
      <c r="B334" s="55">
        <v>45901</v>
      </c>
      <c r="C334" s="79">
        <v>100</v>
      </c>
      <c r="D334" s="14" t="s">
        <v>147</v>
      </c>
      <c r="E334" s="5" t="s">
        <v>34</v>
      </c>
      <c r="F334" s="5" t="s">
        <v>35</v>
      </c>
      <c r="G334" s="5" t="s">
        <v>41</v>
      </c>
    </row>
    <row r="335" spans="2:7" ht="18" hidden="1">
      <c r="B335" s="55">
        <v>45903</v>
      </c>
      <c r="C335" s="79">
        <v>-868</v>
      </c>
      <c r="D335" s="14" t="s">
        <v>147</v>
      </c>
      <c r="E335" s="5" t="s">
        <v>118</v>
      </c>
      <c r="F335" s="5" t="s">
        <v>53</v>
      </c>
      <c r="G335" s="5" t="s">
        <v>56</v>
      </c>
    </row>
    <row r="336" spans="2:7" ht="18" hidden="1">
      <c r="B336" s="55">
        <v>45903</v>
      </c>
      <c r="C336" s="79">
        <v>-40</v>
      </c>
      <c r="D336" s="14" t="s">
        <v>147</v>
      </c>
      <c r="E336" s="5" t="s">
        <v>118</v>
      </c>
      <c r="F336" s="5" t="s">
        <v>38</v>
      </c>
      <c r="G336" s="5" t="s">
        <v>50</v>
      </c>
    </row>
    <row r="337" spans="2:7" ht="18" hidden="1">
      <c r="B337" s="55">
        <v>45904</v>
      </c>
      <c r="C337" s="79">
        <v>-54</v>
      </c>
      <c r="D337" s="14" t="s">
        <v>147</v>
      </c>
      <c r="E337" s="5" t="s">
        <v>118</v>
      </c>
      <c r="F337" s="5" t="s">
        <v>53</v>
      </c>
      <c r="G337" s="5" t="s">
        <v>56</v>
      </c>
    </row>
    <row r="338" spans="2:7" ht="18" hidden="1">
      <c r="B338" s="55">
        <v>45904</v>
      </c>
      <c r="C338" s="79">
        <v>-20</v>
      </c>
      <c r="D338" s="14" t="s">
        <v>147</v>
      </c>
      <c r="E338" s="5" t="s">
        <v>118</v>
      </c>
      <c r="F338" s="5" t="s">
        <v>53</v>
      </c>
      <c r="G338" s="5" t="s">
        <v>55</v>
      </c>
    </row>
    <row r="339" spans="2:7" ht="18" hidden="1">
      <c r="B339" s="55">
        <v>45904</v>
      </c>
      <c r="C339" s="79">
        <v>-54.344000000000001</v>
      </c>
      <c r="D339" s="14" t="s">
        <v>147</v>
      </c>
      <c r="E339" s="5" t="s">
        <v>118</v>
      </c>
      <c r="F339" s="5" t="s">
        <v>38</v>
      </c>
      <c r="G339" s="5" t="s">
        <v>51</v>
      </c>
    </row>
    <row r="340" spans="2:7" ht="18" hidden="1">
      <c r="B340" s="55">
        <v>45905</v>
      </c>
      <c r="C340" s="79">
        <v>-81</v>
      </c>
      <c r="D340" s="14" t="s">
        <v>147</v>
      </c>
      <c r="E340" s="5" t="s">
        <v>118</v>
      </c>
      <c r="F340" s="5" t="s">
        <v>38</v>
      </c>
      <c r="G340" s="5" t="s">
        <v>50</v>
      </c>
    </row>
    <row r="341" spans="2:7" ht="18" hidden="1">
      <c r="B341" s="55">
        <v>45905</v>
      </c>
      <c r="C341" s="79">
        <v>-75</v>
      </c>
      <c r="D341" s="14" t="s">
        <v>147</v>
      </c>
      <c r="E341" s="5" t="s">
        <v>118</v>
      </c>
      <c r="F341" s="5" t="s">
        <v>53</v>
      </c>
      <c r="G341" s="5" t="s">
        <v>56</v>
      </c>
    </row>
    <row r="342" spans="2:7" ht="18" hidden="1">
      <c r="B342" s="55">
        <v>45905</v>
      </c>
      <c r="C342" s="79">
        <v>-59</v>
      </c>
      <c r="D342" s="14" t="s">
        <v>147</v>
      </c>
      <c r="E342" s="5" t="s">
        <v>118</v>
      </c>
      <c r="F342" s="5" t="s">
        <v>53</v>
      </c>
      <c r="G342" s="5" t="s">
        <v>56</v>
      </c>
    </row>
    <row r="343" spans="2:7" ht="18" hidden="1">
      <c r="B343" s="55">
        <v>45905</v>
      </c>
      <c r="C343" s="79">
        <v>-59</v>
      </c>
      <c r="D343" s="14" t="s">
        <v>147</v>
      </c>
      <c r="E343" s="5" t="s">
        <v>118</v>
      </c>
      <c r="F343" s="5" t="s">
        <v>53</v>
      </c>
      <c r="G343" s="5" t="s">
        <v>55</v>
      </c>
    </row>
    <row r="344" spans="2:7" ht="18" hidden="1">
      <c r="B344" s="55">
        <v>45906</v>
      </c>
      <c r="C344" s="79">
        <v>-55</v>
      </c>
      <c r="D344" s="14" t="s">
        <v>95</v>
      </c>
      <c r="E344" s="5" t="s">
        <v>118</v>
      </c>
      <c r="F344" s="5" t="s">
        <v>38</v>
      </c>
      <c r="G344" s="5" t="s">
        <v>51</v>
      </c>
    </row>
    <row r="345" spans="2:7" ht="18" hidden="1">
      <c r="B345" s="55">
        <v>45906</v>
      </c>
      <c r="C345" s="79">
        <v>-10</v>
      </c>
      <c r="D345" s="14" t="s">
        <v>95</v>
      </c>
      <c r="E345" s="5" t="s">
        <v>118</v>
      </c>
      <c r="F345" s="5" t="s">
        <v>38</v>
      </c>
      <c r="G345" s="5" t="s">
        <v>50</v>
      </c>
    </row>
    <row r="346" spans="2:7" ht="18" hidden="1">
      <c r="B346" s="55">
        <v>45906</v>
      </c>
      <c r="C346" s="79">
        <v>-100</v>
      </c>
      <c r="D346" s="14" t="s">
        <v>148</v>
      </c>
      <c r="E346" s="5" t="s">
        <v>118</v>
      </c>
      <c r="F346" s="5" t="s">
        <v>53</v>
      </c>
      <c r="G346" s="5" t="s">
        <v>56</v>
      </c>
    </row>
    <row r="347" spans="2:7" ht="18" hidden="1">
      <c r="B347" s="55">
        <v>45906</v>
      </c>
      <c r="C347" s="79">
        <v>-190</v>
      </c>
      <c r="D347" s="14" t="s">
        <v>147</v>
      </c>
      <c r="E347" s="5" t="s">
        <v>118</v>
      </c>
      <c r="F347" s="5" t="s">
        <v>38</v>
      </c>
      <c r="G347" s="5" t="s">
        <v>48</v>
      </c>
    </row>
    <row r="348" spans="2:7" ht="18" hidden="1">
      <c r="B348" s="55">
        <v>45906</v>
      </c>
      <c r="C348" s="79">
        <v>-1</v>
      </c>
      <c r="D348" s="14" t="s">
        <v>95</v>
      </c>
      <c r="E348" s="5" t="s">
        <v>118</v>
      </c>
      <c r="F348" s="5" t="s">
        <v>38</v>
      </c>
      <c r="G348" s="5" t="s">
        <v>51</v>
      </c>
    </row>
    <row r="349" spans="2:7" ht="18" hidden="1">
      <c r="B349" s="55">
        <v>45907</v>
      </c>
      <c r="C349" s="79">
        <v>-35</v>
      </c>
      <c r="D349" s="14" t="s">
        <v>147</v>
      </c>
      <c r="E349" s="5" t="s">
        <v>118</v>
      </c>
      <c r="F349" s="5" t="s">
        <v>38</v>
      </c>
      <c r="G349" s="5" t="s">
        <v>50</v>
      </c>
    </row>
    <row r="350" spans="2:7" ht="18" hidden="1">
      <c r="B350" s="55">
        <v>45907</v>
      </c>
      <c r="C350" s="79">
        <v>-20</v>
      </c>
      <c r="D350" s="14" t="s">
        <v>95</v>
      </c>
      <c r="E350" s="5" t="s">
        <v>118</v>
      </c>
      <c r="F350" s="5" t="s">
        <v>53</v>
      </c>
      <c r="G350" s="5" t="s">
        <v>56</v>
      </c>
    </row>
    <row r="351" spans="2:7" ht="18" hidden="1">
      <c r="B351" s="55">
        <v>45907</v>
      </c>
      <c r="C351" s="79">
        <v>-187</v>
      </c>
      <c r="D351" s="14" t="s">
        <v>147</v>
      </c>
      <c r="E351" s="5" t="s">
        <v>118</v>
      </c>
      <c r="F351" s="5" t="s">
        <v>53</v>
      </c>
      <c r="G351" s="5" t="s">
        <v>55</v>
      </c>
    </row>
    <row r="352" spans="2:7" ht="18" hidden="1">
      <c r="B352" s="55">
        <v>45908</v>
      </c>
      <c r="C352" s="79">
        <v>1000</v>
      </c>
      <c r="D352" s="14" t="s">
        <v>147</v>
      </c>
      <c r="E352" s="5" t="s">
        <v>34</v>
      </c>
      <c r="F352" s="5" t="s">
        <v>36</v>
      </c>
      <c r="G352" s="5" t="s">
        <v>42</v>
      </c>
    </row>
    <row r="353" spans="2:7" ht="18" hidden="1">
      <c r="B353" s="55">
        <v>45907</v>
      </c>
      <c r="C353" s="79">
        <v>-19</v>
      </c>
      <c r="D353" s="14" t="s">
        <v>95</v>
      </c>
      <c r="E353" s="5" t="s">
        <v>118</v>
      </c>
      <c r="F353" s="5" t="s">
        <v>53</v>
      </c>
      <c r="G353" s="5" t="s">
        <v>55</v>
      </c>
    </row>
    <row r="354" spans="2:7" ht="18" hidden="1">
      <c r="B354" s="55">
        <v>45908</v>
      </c>
      <c r="C354" s="79">
        <v>-19</v>
      </c>
      <c r="D354" s="14" t="s">
        <v>147</v>
      </c>
      <c r="E354" s="5" t="s">
        <v>118</v>
      </c>
      <c r="F354" s="5" t="s">
        <v>53</v>
      </c>
      <c r="G354" s="5" t="s">
        <v>56</v>
      </c>
    </row>
    <row r="355" spans="2:7" ht="18" hidden="1">
      <c r="B355" s="55">
        <v>45908</v>
      </c>
      <c r="C355" s="79">
        <v>-50</v>
      </c>
      <c r="D355" s="14" t="s">
        <v>95</v>
      </c>
      <c r="E355" s="5" t="s">
        <v>118</v>
      </c>
      <c r="F355" s="5" t="s">
        <v>38</v>
      </c>
      <c r="G355" s="5" t="s">
        <v>51</v>
      </c>
    </row>
    <row r="356" spans="2:7" ht="18" hidden="1">
      <c r="B356" s="55">
        <v>45909</v>
      </c>
      <c r="C356" s="79">
        <v>-69</v>
      </c>
      <c r="D356" s="14" t="s">
        <v>147</v>
      </c>
      <c r="E356" s="5" t="s">
        <v>118</v>
      </c>
      <c r="F356" s="5" t="s">
        <v>53</v>
      </c>
      <c r="G356" s="5" t="s">
        <v>56</v>
      </c>
    </row>
    <row r="357" spans="2:7" ht="18" hidden="1">
      <c r="B357" s="55">
        <v>45909</v>
      </c>
      <c r="C357" s="79">
        <v>-69</v>
      </c>
      <c r="D357" s="14" t="s">
        <v>147</v>
      </c>
      <c r="E357" s="5" t="s">
        <v>118</v>
      </c>
      <c r="F357" s="5" t="s">
        <v>53</v>
      </c>
      <c r="G357" s="5" t="s">
        <v>55</v>
      </c>
    </row>
    <row r="358" spans="2:7" ht="18" hidden="1">
      <c r="B358" s="55">
        <v>45910</v>
      </c>
      <c r="C358" s="79">
        <v>-40</v>
      </c>
      <c r="D358" s="14" t="s">
        <v>147</v>
      </c>
      <c r="E358" s="5" t="s">
        <v>118</v>
      </c>
      <c r="F358" s="5" t="s">
        <v>53</v>
      </c>
      <c r="G358" s="5" t="s">
        <v>56</v>
      </c>
    </row>
    <row r="359" spans="2:7" ht="18" hidden="1">
      <c r="B359" s="55">
        <v>45910</v>
      </c>
      <c r="C359" s="79">
        <v>-260.05500000000001</v>
      </c>
      <c r="D359" s="14" t="s">
        <v>147</v>
      </c>
      <c r="E359" s="5" t="s">
        <v>118</v>
      </c>
      <c r="F359" s="5" t="s">
        <v>38</v>
      </c>
      <c r="G359" s="5" t="s">
        <v>48</v>
      </c>
    </row>
    <row r="360" spans="2:7" ht="18" hidden="1">
      <c r="B360" s="55">
        <v>45910</v>
      </c>
      <c r="C360" s="79">
        <v>-60</v>
      </c>
      <c r="D360" s="14" t="s">
        <v>147</v>
      </c>
      <c r="E360" s="5" t="s">
        <v>118</v>
      </c>
      <c r="F360" s="5" t="s">
        <v>53</v>
      </c>
      <c r="G360" s="5" t="s">
        <v>56</v>
      </c>
    </row>
    <row r="361" spans="2:7" ht="18" hidden="1">
      <c r="B361" s="55">
        <v>45912</v>
      </c>
      <c r="C361" s="79">
        <v>-30</v>
      </c>
      <c r="D361" s="14" t="s">
        <v>147</v>
      </c>
      <c r="E361" s="5" t="s">
        <v>118</v>
      </c>
      <c r="F361" s="5" t="s">
        <v>53</v>
      </c>
      <c r="G361" s="5" t="s">
        <v>55</v>
      </c>
    </row>
    <row r="362" spans="2:7" ht="18" hidden="1">
      <c r="B362" s="55">
        <v>45912</v>
      </c>
      <c r="C362" s="79">
        <v>-55</v>
      </c>
      <c r="D362" s="14" t="s">
        <v>147</v>
      </c>
      <c r="E362" s="5" t="s">
        <v>118</v>
      </c>
      <c r="F362" s="5" t="s">
        <v>38</v>
      </c>
      <c r="G362" s="5" t="s">
        <v>51</v>
      </c>
    </row>
    <row r="363" spans="2:7" ht="18" hidden="1">
      <c r="B363" s="55">
        <v>45913</v>
      </c>
      <c r="C363" s="79">
        <v>-5</v>
      </c>
      <c r="D363" s="14" t="s">
        <v>95</v>
      </c>
      <c r="E363" s="5" t="s">
        <v>118</v>
      </c>
      <c r="F363" s="5" t="s">
        <v>38</v>
      </c>
      <c r="G363" s="5" t="s">
        <v>51</v>
      </c>
    </row>
    <row r="364" spans="2:7" ht="18" hidden="1">
      <c r="B364" s="55">
        <v>45913</v>
      </c>
      <c r="C364" s="79">
        <v>-35</v>
      </c>
      <c r="D364" s="14" t="s">
        <v>147</v>
      </c>
      <c r="E364" s="5" t="s">
        <v>118</v>
      </c>
      <c r="F364" s="5" t="s">
        <v>38</v>
      </c>
      <c r="G364" s="5" t="s">
        <v>51</v>
      </c>
    </row>
    <row r="365" spans="2:7" ht="18" hidden="1">
      <c r="B365" s="55">
        <v>45913</v>
      </c>
      <c r="C365" s="79">
        <v>-3</v>
      </c>
      <c r="D365" s="14" t="s">
        <v>95</v>
      </c>
      <c r="E365" s="5" t="s">
        <v>118</v>
      </c>
      <c r="F365" s="5" t="s">
        <v>38</v>
      </c>
      <c r="G365" s="5" t="s">
        <v>51</v>
      </c>
    </row>
    <row r="366" spans="2:7" ht="18" hidden="1">
      <c r="B366" s="55">
        <v>45914</v>
      </c>
      <c r="C366" s="79">
        <v>-3</v>
      </c>
      <c r="D366" s="14" t="s">
        <v>95</v>
      </c>
      <c r="E366" s="5" t="s">
        <v>118</v>
      </c>
      <c r="F366" s="5" t="s">
        <v>38</v>
      </c>
      <c r="G366" s="5" t="s">
        <v>51</v>
      </c>
    </row>
    <row r="367" spans="2:7" ht="18" hidden="1">
      <c r="B367" s="55">
        <v>45914</v>
      </c>
      <c r="C367" s="79">
        <v>-1</v>
      </c>
      <c r="D367" s="14" t="s">
        <v>95</v>
      </c>
      <c r="E367" s="5" t="s">
        <v>118</v>
      </c>
      <c r="F367" s="5" t="s">
        <v>53</v>
      </c>
      <c r="G367" s="5" t="s">
        <v>55</v>
      </c>
    </row>
    <row r="368" spans="2:7" ht="18" hidden="1">
      <c r="B368" s="55">
        <v>45914</v>
      </c>
      <c r="C368" s="79">
        <v>-45.145000000000003</v>
      </c>
      <c r="D368" s="14" t="s">
        <v>147</v>
      </c>
      <c r="E368" s="5" t="s">
        <v>118</v>
      </c>
      <c r="F368" s="5" t="s">
        <v>38</v>
      </c>
      <c r="G368" s="5" t="s">
        <v>51</v>
      </c>
    </row>
    <row r="369" spans="2:7" ht="18" hidden="1">
      <c r="B369" s="55">
        <v>45914</v>
      </c>
      <c r="C369" s="79">
        <v>-19</v>
      </c>
      <c r="D369" s="14" t="s">
        <v>147</v>
      </c>
      <c r="E369" s="5" t="s">
        <v>118</v>
      </c>
      <c r="F369" s="5" t="s">
        <v>53</v>
      </c>
      <c r="G369" s="5" t="s">
        <v>56</v>
      </c>
    </row>
    <row r="370" spans="2:7" ht="18" hidden="1">
      <c r="B370" s="55">
        <v>45915</v>
      </c>
      <c r="C370" s="79">
        <v>-32</v>
      </c>
      <c r="D370" s="14" t="s">
        <v>147</v>
      </c>
      <c r="E370" s="5" t="s">
        <v>118</v>
      </c>
      <c r="F370" s="5" t="s">
        <v>53</v>
      </c>
      <c r="G370" s="5" t="s">
        <v>56</v>
      </c>
    </row>
    <row r="371" spans="2:7" ht="18" hidden="1">
      <c r="B371" s="55">
        <v>45916</v>
      </c>
      <c r="C371" s="79">
        <v>-52.631999999999998</v>
      </c>
      <c r="D371" s="14" t="s">
        <v>147</v>
      </c>
      <c r="E371" s="5" t="s">
        <v>118</v>
      </c>
      <c r="F371" s="5" t="s">
        <v>38</v>
      </c>
      <c r="G371" s="5" t="s">
        <v>51</v>
      </c>
    </row>
    <row r="372" spans="2:7" ht="18" hidden="1">
      <c r="B372" s="55">
        <v>45916</v>
      </c>
      <c r="C372" s="79">
        <v>-18</v>
      </c>
      <c r="D372" s="14" t="s">
        <v>147</v>
      </c>
      <c r="E372" s="5" t="s">
        <v>118</v>
      </c>
      <c r="F372" s="5" t="s">
        <v>53</v>
      </c>
      <c r="G372" s="5" t="s">
        <v>56</v>
      </c>
    </row>
    <row r="373" spans="2:7" ht="18" hidden="1">
      <c r="B373" s="55">
        <v>45916</v>
      </c>
      <c r="C373" s="79">
        <v>-55</v>
      </c>
      <c r="D373" s="14" t="s">
        <v>147</v>
      </c>
      <c r="E373" s="5" t="s">
        <v>118</v>
      </c>
      <c r="F373" s="5" t="s">
        <v>53</v>
      </c>
      <c r="G373" s="5" t="s">
        <v>56</v>
      </c>
    </row>
    <row r="374" spans="2:7" ht="18" hidden="1">
      <c r="B374" s="55">
        <v>45916</v>
      </c>
      <c r="C374" s="79">
        <v>-55</v>
      </c>
      <c r="D374" s="14" t="s">
        <v>147</v>
      </c>
      <c r="E374" s="5" t="s">
        <v>118</v>
      </c>
      <c r="F374" s="5" t="s">
        <v>53</v>
      </c>
      <c r="G374" s="5" t="s">
        <v>55</v>
      </c>
    </row>
    <row r="375" spans="2:7" ht="18" hidden="1">
      <c r="B375" s="55">
        <v>45916</v>
      </c>
      <c r="C375" s="79">
        <v>-59</v>
      </c>
      <c r="D375" s="14" t="s">
        <v>147</v>
      </c>
      <c r="E375" s="5" t="s">
        <v>118</v>
      </c>
      <c r="F375" s="5" t="s">
        <v>53</v>
      </c>
      <c r="G375" s="5" t="s">
        <v>56</v>
      </c>
    </row>
    <row r="376" spans="2:7" ht="18" hidden="1">
      <c r="B376" s="55">
        <v>45917</v>
      </c>
      <c r="C376" s="79">
        <v>1000.014</v>
      </c>
      <c r="D376" s="14" t="s">
        <v>147</v>
      </c>
      <c r="E376" s="5" t="s">
        <v>34</v>
      </c>
      <c r="F376" s="5" t="s">
        <v>36</v>
      </c>
      <c r="G376" s="5" t="s">
        <v>42</v>
      </c>
    </row>
    <row r="377" spans="2:7" ht="18" hidden="1">
      <c r="B377" s="55">
        <v>45918</v>
      </c>
      <c r="C377" s="79">
        <v>-55.040999999999997</v>
      </c>
      <c r="D377" s="14" t="s">
        <v>147</v>
      </c>
      <c r="E377" s="5" t="s">
        <v>118</v>
      </c>
      <c r="F377" s="5" t="s">
        <v>38</v>
      </c>
      <c r="G377" s="5" t="s">
        <v>51</v>
      </c>
    </row>
    <row r="378" spans="2:7" ht="18" hidden="1">
      <c r="B378" s="55">
        <v>45919</v>
      </c>
      <c r="C378" s="79">
        <v>-20</v>
      </c>
      <c r="D378" s="14" t="s">
        <v>147</v>
      </c>
      <c r="E378" s="5" t="s">
        <v>118</v>
      </c>
      <c r="F378" s="5" t="s">
        <v>53</v>
      </c>
      <c r="G378" s="5" t="s">
        <v>56</v>
      </c>
    </row>
    <row r="379" spans="2:7" ht="18" hidden="1">
      <c r="B379" s="55">
        <v>45919</v>
      </c>
      <c r="C379" s="79">
        <v>-35</v>
      </c>
      <c r="D379" s="14" t="s">
        <v>147</v>
      </c>
      <c r="E379" s="5" t="s">
        <v>118</v>
      </c>
      <c r="F379" s="5" t="s">
        <v>53</v>
      </c>
      <c r="G379" s="5" t="s">
        <v>56</v>
      </c>
    </row>
    <row r="380" spans="2:7" ht="18" hidden="1">
      <c r="B380" s="55">
        <v>45919</v>
      </c>
      <c r="C380" s="79">
        <v>-45</v>
      </c>
      <c r="D380" s="14" t="s">
        <v>147</v>
      </c>
      <c r="E380" s="5" t="s">
        <v>118</v>
      </c>
      <c r="F380" s="5" t="s">
        <v>53</v>
      </c>
      <c r="G380" s="5" t="s">
        <v>56</v>
      </c>
    </row>
    <row r="381" spans="2:7" ht="18" hidden="1">
      <c r="B381" s="55">
        <v>45919</v>
      </c>
      <c r="C381" s="79">
        <v>-56.031999999999996</v>
      </c>
      <c r="D381" s="14" t="s">
        <v>147</v>
      </c>
      <c r="E381" s="5" t="s">
        <v>118</v>
      </c>
      <c r="F381" s="5" t="s">
        <v>38</v>
      </c>
      <c r="G381" s="5" t="s">
        <v>51</v>
      </c>
    </row>
    <row r="382" spans="2:7" ht="18" hidden="1">
      <c r="B382" s="55">
        <v>45920</v>
      </c>
      <c r="C382" s="79">
        <v>-64</v>
      </c>
      <c r="D382" s="14" t="s">
        <v>147</v>
      </c>
      <c r="E382" s="5" t="s">
        <v>118</v>
      </c>
      <c r="F382" s="5" t="s">
        <v>53</v>
      </c>
      <c r="G382" s="5" t="s">
        <v>56</v>
      </c>
    </row>
    <row r="383" spans="2:7" ht="18" hidden="1">
      <c r="B383" s="55">
        <v>45920</v>
      </c>
      <c r="C383" s="79">
        <v>-161.33333333333329</v>
      </c>
      <c r="D383" s="14" t="s">
        <v>147</v>
      </c>
      <c r="E383" s="5" t="s">
        <v>118</v>
      </c>
      <c r="F383" s="5" t="s">
        <v>53</v>
      </c>
      <c r="G383" s="5" t="s">
        <v>55</v>
      </c>
    </row>
    <row r="384" spans="2:7" ht="18" hidden="1">
      <c r="B384" s="55">
        <v>45920</v>
      </c>
      <c r="C384" s="79">
        <v>-16.666666666666671</v>
      </c>
      <c r="D384" s="14" t="s">
        <v>147</v>
      </c>
      <c r="E384" s="5" t="s">
        <v>118</v>
      </c>
      <c r="F384" s="5" t="s">
        <v>53</v>
      </c>
      <c r="G384" s="5" t="s">
        <v>56</v>
      </c>
    </row>
    <row r="385" spans="2:7" ht="18" hidden="1">
      <c r="B385" s="55">
        <v>45921</v>
      </c>
      <c r="C385" s="79">
        <v>-64</v>
      </c>
      <c r="D385" s="14" t="s">
        <v>147</v>
      </c>
      <c r="E385" s="5" t="s">
        <v>118</v>
      </c>
      <c r="F385" s="5" t="s">
        <v>53</v>
      </c>
      <c r="G385" s="5" t="s">
        <v>56</v>
      </c>
    </row>
    <row r="386" spans="2:7" ht="18" hidden="1">
      <c r="B386" s="55">
        <v>45921</v>
      </c>
      <c r="C386" s="79">
        <v>2.5000000000000001E-2</v>
      </c>
      <c r="D386" s="14" t="s">
        <v>147</v>
      </c>
      <c r="E386" s="5" t="s">
        <v>34</v>
      </c>
      <c r="F386" s="5" t="s">
        <v>36</v>
      </c>
      <c r="G386" s="5" t="s">
        <v>42</v>
      </c>
    </row>
    <row r="387" spans="2:7" ht="18" hidden="1">
      <c r="B387" s="55">
        <v>45921</v>
      </c>
      <c r="C387" s="79">
        <v>-3</v>
      </c>
      <c r="D387" s="14" t="s">
        <v>95</v>
      </c>
      <c r="E387" s="5" t="s">
        <v>118</v>
      </c>
      <c r="F387" s="5" t="s">
        <v>38</v>
      </c>
      <c r="G387" s="5" t="s">
        <v>51</v>
      </c>
    </row>
    <row r="388" spans="2:7" ht="18" hidden="1">
      <c r="B388" s="55">
        <v>45921</v>
      </c>
      <c r="C388" s="79">
        <v>-4</v>
      </c>
      <c r="D388" s="14" t="s">
        <v>147</v>
      </c>
      <c r="E388" s="5" t="s">
        <v>118</v>
      </c>
      <c r="F388" s="5" t="s">
        <v>53</v>
      </c>
      <c r="G388" s="5" t="s">
        <v>55</v>
      </c>
    </row>
    <row r="389" spans="2:7" ht="18" hidden="1">
      <c r="B389" s="55">
        <v>45921</v>
      </c>
      <c r="C389" s="79">
        <v>-81</v>
      </c>
      <c r="D389" s="14" t="s">
        <v>95</v>
      </c>
      <c r="E389" s="5" t="s">
        <v>118</v>
      </c>
      <c r="F389" s="5" t="s">
        <v>38</v>
      </c>
      <c r="G389" s="5" t="s">
        <v>50</v>
      </c>
    </row>
    <row r="390" spans="2:7" ht="18" hidden="1">
      <c r="B390" s="55">
        <v>45921</v>
      </c>
      <c r="C390" s="79">
        <v>-60</v>
      </c>
      <c r="D390" s="14" t="s">
        <v>95</v>
      </c>
      <c r="E390" s="5" t="s">
        <v>118</v>
      </c>
      <c r="F390" s="5" t="s">
        <v>38</v>
      </c>
      <c r="G390" s="5" t="s">
        <v>51</v>
      </c>
    </row>
    <row r="391" spans="2:7" ht="18" hidden="1">
      <c r="B391" s="55">
        <v>45918</v>
      </c>
      <c r="C391" s="79">
        <v>500</v>
      </c>
      <c r="D391" s="14" t="s">
        <v>95</v>
      </c>
      <c r="E391" s="5" t="s">
        <v>34</v>
      </c>
      <c r="F391" s="5" t="s">
        <v>35</v>
      </c>
      <c r="G391" s="5" t="s">
        <v>39</v>
      </c>
    </row>
    <row r="392" spans="2:7" ht="18" hidden="1">
      <c r="B392" s="55">
        <v>45918</v>
      </c>
      <c r="C392" s="79">
        <v>500</v>
      </c>
      <c r="D392" s="14" t="s">
        <v>95</v>
      </c>
      <c r="E392" s="5" t="s">
        <v>34</v>
      </c>
      <c r="F392" s="5" t="s">
        <v>35</v>
      </c>
      <c r="G392" s="5" t="s">
        <v>39</v>
      </c>
    </row>
    <row r="393" spans="2:7" ht="18" hidden="1">
      <c r="B393" s="55">
        <v>45921</v>
      </c>
      <c r="C393" s="79">
        <v>-15</v>
      </c>
      <c r="D393" s="14" t="s">
        <v>147</v>
      </c>
      <c r="E393" s="5" t="s">
        <v>118</v>
      </c>
      <c r="F393" s="5" t="s">
        <v>53</v>
      </c>
      <c r="G393" s="5" t="s">
        <v>56</v>
      </c>
    </row>
    <row r="394" spans="2:7" ht="18" hidden="1">
      <c r="B394" s="55">
        <v>45921</v>
      </c>
      <c r="C394" s="79">
        <v>-30</v>
      </c>
      <c r="D394" s="14" t="s">
        <v>147</v>
      </c>
      <c r="E394" s="5" t="s">
        <v>118</v>
      </c>
      <c r="F394" s="5" t="s">
        <v>53</v>
      </c>
      <c r="G394" s="5" t="s">
        <v>56</v>
      </c>
    </row>
    <row r="395" spans="2:7" ht="18" hidden="1">
      <c r="B395" s="55">
        <v>45921</v>
      </c>
      <c r="C395" s="79">
        <v>-30</v>
      </c>
      <c r="D395" s="14" t="s">
        <v>147</v>
      </c>
      <c r="E395" s="5" t="s">
        <v>118</v>
      </c>
      <c r="F395" s="5" t="s">
        <v>53</v>
      </c>
      <c r="G395" s="5" t="s">
        <v>55</v>
      </c>
    </row>
    <row r="396" spans="2:7" ht="18" hidden="1">
      <c r="B396" s="55">
        <v>45922</v>
      </c>
      <c r="C396" s="79">
        <v>-100</v>
      </c>
      <c r="D396" s="14" t="s">
        <v>147</v>
      </c>
      <c r="E396" s="5" t="s">
        <v>118</v>
      </c>
      <c r="F396" s="5" t="s">
        <v>38</v>
      </c>
      <c r="G396" s="5" t="s">
        <v>51</v>
      </c>
    </row>
    <row r="397" spans="2:7" ht="18" hidden="1">
      <c r="B397" s="55">
        <v>45922</v>
      </c>
      <c r="C397" s="79">
        <v>2000</v>
      </c>
      <c r="D397" s="14" t="s">
        <v>147</v>
      </c>
      <c r="E397" s="5" t="s">
        <v>34</v>
      </c>
      <c r="F397" s="5" t="s">
        <v>35</v>
      </c>
      <c r="G397" s="5" t="s">
        <v>39</v>
      </c>
    </row>
    <row r="398" spans="2:7" ht="18" hidden="1">
      <c r="B398" s="55">
        <v>45922</v>
      </c>
      <c r="C398" s="79">
        <v>-40</v>
      </c>
      <c r="D398" s="14" t="s">
        <v>147</v>
      </c>
      <c r="E398" s="5" t="s">
        <v>118</v>
      </c>
      <c r="F398" s="5" t="s">
        <v>53</v>
      </c>
      <c r="G398" s="5" t="s">
        <v>56</v>
      </c>
    </row>
    <row r="399" spans="2:7" ht="18" hidden="1">
      <c r="B399" s="55">
        <v>45923</v>
      </c>
      <c r="C399" s="79">
        <v>-50</v>
      </c>
      <c r="D399" s="14" t="s">
        <v>95</v>
      </c>
      <c r="E399" s="5" t="s">
        <v>118</v>
      </c>
      <c r="F399" s="5" t="s">
        <v>53</v>
      </c>
      <c r="G399" s="5" t="s">
        <v>56</v>
      </c>
    </row>
    <row r="400" spans="2:7" ht="18" hidden="1">
      <c r="B400" s="55">
        <v>45923</v>
      </c>
      <c r="C400" s="79">
        <v>-50</v>
      </c>
      <c r="D400" s="14" t="s">
        <v>95</v>
      </c>
      <c r="E400" s="5" t="s">
        <v>118</v>
      </c>
      <c r="F400" s="5" t="s">
        <v>53</v>
      </c>
      <c r="G400" s="5" t="s">
        <v>56</v>
      </c>
    </row>
    <row r="401" spans="2:7" ht="18" hidden="1">
      <c r="B401" s="55">
        <v>45923</v>
      </c>
      <c r="C401" s="79">
        <v>-55</v>
      </c>
      <c r="D401" s="14" t="s">
        <v>95</v>
      </c>
      <c r="E401" s="5" t="s">
        <v>118</v>
      </c>
      <c r="F401" s="5" t="s">
        <v>38</v>
      </c>
      <c r="G401" s="5" t="s">
        <v>51</v>
      </c>
    </row>
    <row r="402" spans="2:7" ht="18" hidden="1">
      <c r="B402" s="55">
        <v>45924</v>
      </c>
      <c r="C402" s="79">
        <v>-10</v>
      </c>
      <c r="D402" s="14" t="s">
        <v>148</v>
      </c>
      <c r="E402" s="5" t="s">
        <v>118</v>
      </c>
      <c r="F402" s="5" t="s">
        <v>53</v>
      </c>
      <c r="G402" s="5" t="s">
        <v>56</v>
      </c>
    </row>
    <row r="403" spans="2:7" ht="18" hidden="1">
      <c r="B403" s="55">
        <v>45924</v>
      </c>
      <c r="C403" s="79">
        <v>-5</v>
      </c>
      <c r="D403" s="14" t="s">
        <v>95</v>
      </c>
      <c r="E403" s="5" t="s">
        <v>118</v>
      </c>
      <c r="F403" s="5" t="s">
        <v>38</v>
      </c>
      <c r="G403" s="5" t="s">
        <v>51</v>
      </c>
    </row>
    <row r="404" spans="2:7" ht="18" hidden="1">
      <c r="B404" s="55">
        <v>45924</v>
      </c>
      <c r="C404" s="79">
        <v>-5</v>
      </c>
      <c r="D404" s="14" t="s">
        <v>95</v>
      </c>
      <c r="E404" s="5" t="s">
        <v>118</v>
      </c>
      <c r="F404" s="5" t="s">
        <v>53</v>
      </c>
      <c r="G404" s="5" t="s">
        <v>55</v>
      </c>
    </row>
    <row r="405" spans="2:7" ht="18" hidden="1">
      <c r="B405" s="55">
        <v>45925</v>
      </c>
      <c r="C405" s="79">
        <v>-300</v>
      </c>
      <c r="D405" s="14" t="s">
        <v>148</v>
      </c>
      <c r="E405" s="5" t="s">
        <v>118</v>
      </c>
      <c r="F405" s="5" t="s">
        <v>53</v>
      </c>
      <c r="G405" s="5" t="s">
        <v>55</v>
      </c>
    </row>
    <row r="406" spans="2:7" ht="18" hidden="1">
      <c r="B406" s="55">
        <v>45925</v>
      </c>
      <c r="C406" s="79">
        <v>-42</v>
      </c>
      <c r="D406" s="14" t="s">
        <v>147</v>
      </c>
      <c r="E406" s="5" t="s">
        <v>118</v>
      </c>
      <c r="F406" s="5" t="s">
        <v>53</v>
      </c>
      <c r="G406" s="5" t="s">
        <v>56</v>
      </c>
    </row>
    <row r="407" spans="2:7" ht="18" hidden="1">
      <c r="B407" s="55">
        <v>45926</v>
      </c>
      <c r="C407" s="79">
        <v>-100</v>
      </c>
      <c r="D407" s="14" t="s">
        <v>95</v>
      </c>
      <c r="E407" s="5" t="s">
        <v>118</v>
      </c>
      <c r="F407" s="5" t="s">
        <v>38</v>
      </c>
      <c r="G407" s="5" t="s">
        <v>51</v>
      </c>
    </row>
    <row r="408" spans="2:7" ht="18" hidden="1">
      <c r="B408" s="55">
        <v>45926</v>
      </c>
      <c r="C408" s="79">
        <v>-6</v>
      </c>
      <c r="D408" s="14" t="s">
        <v>95</v>
      </c>
      <c r="E408" s="5" t="s">
        <v>118</v>
      </c>
      <c r="F408" s="5" t="s">
        <v>38</v>
      </c>
      <c r="G408" s="5" t="s">
        <v>51</v>
      </c>
    </row>
    <row r="409" spans="2:7" ht="18" hidden="1">
      <c r="B409" s="55">
        <v>45926</v>
      </c>
      <c r="C409" s="79">
        <v>-190</v>
      </c>
      <c r="D409" s="14" t="s">
        <v>95</v>
      </c>
      <c r="E409" s="5" t="s">
        <v>118</v>
      </c>
      <c r="F409" s="5" t="s">
        <v>53</v>
      </c>
      <c r="G409" s="5" t="s">
        <v>55</v>
      </c>
    </row>
    <row r="410" spans="2:7" ht="18" hidden="1">
      <c r="B410" s="55">
        <v>45927</v>
      </c>
      <c r="C410" s="79">
        <v>-3</v>
      </c>
      <c r="D410" s="14" t="s">
        <v>95</v>
      </c>
      <c r="E410" s="5" t="s">
        <v>118</v>
      </c>
      <c r="F410" s="5" t="s">
        <v>38</v>
      </c>
      <c r="G410" s="5" t="s">
        <v>51</v>
      </c>
    </row>
    <row r="411" spans="2:7" ht="18" hidden="1">
      <c r="B411" s="55">
        <v>45927</v>
      </c>
      <c r="C411" s="79">
        <v>-23</v>
      </c>
      <c r="D411" s="14" t="s">
        <v>95</v>
      </c>
      <c r="E411" s="5" t="s">
        <v>118</v>
      </c>
      <c r="F411" s="5" t="s">
        <v>53</v>
      </c>
      <c r="G411" s="5" t="s">
        <v>55</v>
      </c>
    </row>
    <row r="412" spans="2:7" ht="18" hidden="1">
      <c r="B412" s="55">
        <v>45927</v>
      </c>
      <c r="C412" s="79">
        <v>-55.057000000000002</v>
      </c>
      <c r="D412" s="14" t="s">
        <v>147</v>
      </c>
      <c r="E412" s="5" t="s">
        <v>118</v>
      </c>
      <c r="F412" s="5" t="s">
        <v>38</v>
      </c>
      <c r="G412" s="5" t="s">
        <v>51</v>
      </c>
    </row>
    <row r="413" spans="2:7" ht="18" hidden="1">
      <c r="B413" s="55">
        <v>45929</v>
      </c>
      <c r="C413" s="79">
        <v>50</v>
      </c>
      <c r="D413" s="14" t="s">
        <v>147</v>
      </c>
      <c r="E413" s="5" t="s">
        <v>34</v>
      </c>
      <c r="F413" s="5" t="s">
        <v>35</v>
      </c>
      <c r="G413" s="5" t="s">
        <v>39</v>
      </c>
    </row>
    <row r="414" spans="2:7" ht="18" hidden="1">
      <c r="B414" s="55">
        <v>45929</v>
      </c>
      <c r="C414" s="79">
        <v>100</v>
      </c>
      <c r="D414" s="14" t="s">
        <v>147</v>
      </c>
      <c r="E414" s="5" t="s">
        <v>34</v>
      </c>
      <c r="F414" s="5" t="s">
        <v>35</v>
      </c>
      <c r="G414" s="5" t="s">
        <v>39</v>
      </c>
    </row>
    <row r="415" spans="2:7" ht="18" hidden="1">
      <c r="B415" s="55">
        <v>45929</v>
      </c>
      <c r="C415" s="79">
        <v>-42</v>
      </c>
      <c r="D415" s="14" t="s">
        <v>147</v>
      </c>
      <c r="E415" s="5" t="s">
        <v>118</v>
      </c>
      <c r="F415" s="5" t="s">
        <v>53</v>
      </c>
      <c r="G415" s="5" t="s">
        <v>55</v>
      </c>
    </row>
    <row r="416" spans="2:7" ht="18" hidden="1">
      <c r="B416" s="55">
        <v>45930</v>
      </c>
      <c r="C416" s="79">
        <v>1</v>
      </c>
      <c r="D416" s="14" t="s">
        <v>147</v>
      </c>
      <c r="E416" s="5" t="s">
        <v>34</v>
      </c>
      <c r="F416" s="5" t="s">
        <v>35</v>
      </c>
      <c r="G416" s="5" t="s">
        <v>41</v>
      </c>
    </row>
    <row r="417" spans="2:7" ht="18" hidden="1">
      <c r="B417" s="55">
        <v>45930</v>
      </c>
      <c r="C417" s="79">
        <v>2.4E-2</v>
      </c>
      <c r="D417" s="14" t="s">
        <v>148</v>
      </c>
      <c r="E417" s="5" t="s">
        <v>34</v>
      </c>
      <c r="F417" s="5" t="s">
        <v>36</v>
      </c>
      <c r="G417" s="5" t="s">
        <v>42</v>
      </c>
    </row>
    <row r="418" spans="2:7" ht="18" hidden="1">
      <c r="B418" s="55">
        <v>45930</v>
      </c>
      <c r="C418" s="79">
        <v>-500</v>
      </c>
      <c r="D418" s="14" t="s">
        <v>148</v>
      </c>
      <c r="E418" s="5" t="s">
        <v>118</v>
      </c>
      <c r="F418" s="5" t="s">
        <v>63</v>
      </c>
      <c r="G418" s="5" t="s">
        <v>65</v>
      </c>
    </row>
    <row r="419" spans="2:7" ht="18" hidden="1">
      <c r="B419" s="55">
        <v>45930</v>
      </c>
      <c r="C419" s="79">
        <v>-500</v>
      </c>
      <c r="D419" s="14" t="s">
        <v>148</v>
      </c>
      <c r="E419" s="5" t="s">
        <v>118</v>
      </c>
      <c r="F419" s="5" t="s">
        <v>63</v>
      </c>
      <c r="G419" s="5" t="s">
        <v>65</v>
      </c>
    </row>
    <row r="420" spans="2:7" ht="18" hidden="1">
      <c r="B420" s="55">
        <v>45930</v>
      </c>
      <c r="C420" s="79">
        <v>-313</v>
      </c>
      <c r="D420" s="14" t="s">
        <v>148</v>
      </c>
      <c r="E420" s="5" t="s">
        <v>118</v>
      </c>
      <c r="F420" s="5" t="s">
        <v>38</v>
      </c>
      <c r="G420" s="5" t="s">
        <v>48</v>
      </c>
    </row>
    <row r="421" spans="2:7" ht="18" hidden="1">
      <c r="B421" s="55">
        <v>45930</v>
      </c>
      <c r="C421" s="79">
        <v>-13.5</v>
      </c>
      <c r="D421" s="14" t="s">
        <v>147</v>
      </c>
      <c r="E421" s="5" t="s">
        <v>118</v>
      </c>
      <c r="F421" s="5" t="s">
        <v>53</v>
      </c>
      <c r="G421" s="5" t="s">
        <v>56</v>
      </c>
    </row>
    <row r="422" spans="2:7" ht="18" hidden="1">
      <c r="B422" s="55">
        <v>45930</v>
      </c>
      <c r="C422" s="79">
        <v>-13.5</v>
      </c>
      <c r="D422" s="14" t="s">
        <v>147</v>
      </c>
      <c r="E422" s="5" t="s">
        <v>118</v>
      </c>
      <c r="F422" s="5" t="s">
        <v>53</v>
      </c>
      <c r="G422" s="5" t="s">
        <v>55</v>
      </c>
    </row>
    <row r="423" spans="2:7" ht="18" hidden="1">
      <c r="B423" s="55">
        <v>45930</v>
      </c>
      <c r="C423" s="79">
        <v>-30</v>
      </c>
      <c r="D423" s="14" t="s">
        <v>95</v>
      </c>
      <c r="E423" s="5" t="s">
        <v>118</v>
      </c>
      <c r="F423" s="5" t="s">
        <v>38</v>
      </c>
      <c r="G423" s="5" t="s">
        <v>51</v>
      </c>
    </row>
    <row r="424" spans="2:7" ht="18" hidden="1">
      <c r="B424" s="55">
        <v>45931</v>
      </c>
      <c r="C424" s="79">
        <v>-53.908000000000001</v>
      </c>
      <c r="D424" s="14" t="s">
        <v>95</v>
      </c>
      <c r="E424" s="5" t="s">
        <v>118</v>
      </c>
      <c r="F424" s="5" t="s">
        <v>38</v>
      </c>
      <c r="G424" s="5" t="s">
        <v>51</v>
      </c>
    </row>
    <row r="425" spans="2:7" ht="18" hidden="1">
      <c r="B425" s="55">
        <v>45932</v>
      </c>
      <c r="C425" s="79">
        <v>-35</v>
      </c>
      <c r="D425" s="14" t="s">
        <v>95</v>
      </c>
      <c r="E425" s="5" t="s">
        <v>118</v>
      </c>
      <c r="F425" s="5" t="s">
        <v>53</v>
      </c>
      <c r="G425" s="5" t="s">
        <v>56</v>
      </c>
    </row>
    <row r="426" spans="2:7" ht="18" hidden="1">
      <c r="B426" s="55">
        <v>45932</v>
      </c>
      <c r="C426" s="79">
        <v>-48.642000000000003</v>
      </c>
      <c r="D426" s="14" t="s">
        <v>147</v>
      </c>
      <c r="E426" s="5" t="s">
        <v>118</v>
      </c>
      <c r="F426" s="5" t="s">
        <v>38</v>
      </c>
      <c r="G426" s="5" t="s">
        <v>51</v>
      </c>
    </row>
    <row r="427" spans="2:7" ht="18" hidden="1">
      <c r="B427" s="55">
        <v>45933</v>
      </c>
      <c r="C427" s="79">
        <v>-55</v>
      </c>
      <c r="D427" s="14" t="s">
        <v>147</v>
      </c>
      <c r="E427" s="5" t="s">
        <v>118</v>
      </c>
      <c r="F427" s="5" t="s">
        <v>38</v>
      </c>
      <c r="G427" s="5" t="s">
        <v>51</v>
      </c>
    </row>
    <row r="428" spans="2:7" ht="18" hidden="1">
      <c r="B428" s="55">
        <v>45933</v>
      </c>
      <c r="C428" s="79">
        <v>-20</v>
      </c>
      <c r="D428" s="14" t="s">
        <v>147</v>
      </c>
      <c r="E428" s="5" t="s">
        <v>118</v>
      </c>
      <c r="F428" s="5" t="s">
        <v>38</v>
      </c>
      <c r="G428" s="5" t="s">
        <v>50</v>
      </c>
    </row>
    <row r="429" spans="2:7" ht="18" hidden="1">
      <c r="B429" s="55">
        <v>45933</v>
      </c>
      <c r="C429" s="79">
        <v>-40</v>
      </c>
      <c r="D429" s="14" t="s">
        <v>148</v>
      </c>
      <c r="E429" s="5" t="s">
        <v>118</v>
      </c>
      <c r="F429" s="5" t="s">
        <v>38</v>
      </c>
      <c r="G429" s="5" t="s">
        <v>50</v>
      </c>
    </row>
    <row r="430" spans="2:7" ht="18" hidden="1">
      <c r="B430" s="55">
        <v>45935</v>
      </c>
      <c r="C430" s="79">
        <v>-40</v>
      </c>
      <c r="D430" s="14" t="s">
        <v>147</v>
      </c>
      <c r="E430" s="5" t="s">
        <v>118</v>
      </c>
      <c r="F430" s="5" t="s">
        <v>53</v>
      </c>
      <c r="G430" s="5" t="s">
        <v>55</v>
      </c>
    </row>
    <row r="431" spans="2:7" ht="18" hidden="1">
      <c r="B431" s="55">
        <v>45935</v>
      </c>
      <c r="C431" s="79">
        <v>-50</v>
      </c>
      <c r="D431" s="14" t="s">
        <v>147</v>
      </c>
      <c r="E431" s="5" t="s">
        <v>118</v>
      </c>
      <c r="F431" s="5" t="s">
        <v>53</v>
      </c>
      <c r="G431" s="5" t="s">
        <v>56</v>
      </c>
    </row>
    <row r="432" spans="2:7" ht="18" hidden="1">
      <c r="B432" s="55">
        <v>45934</v>
      </c>
      <c r="C432" s="79">
        <v>-70.828000000000003</v>
      </c>
      <c r="D432" s="14" t="s">
        <v>147</v>
      </c>
      <c r="E432" s="5" t="s">
        <v>118</v>
      </c>
      <c r="F432" s="5" t="s">
        <v>38</v>
      </c>
      <c r="G432" s="5" t="s">
        <v>48</v>
      </c>
    </row>
    <row r="433" spans="2:7" ht="18" hidden="1">
      <c r="B433" s="55">
        <v>45935</v>
      </c>
      <c r="C433" s="79">
        <v>-138</v>
      </c>
      <c r="D433" s="14" t="s">
        <v>147</v>
      </c>
      <c r="E433" s="5" t="s">
        <v>118</v>
      </c>
      <c r="F433" s="5" t="s">
        <v>53</v>
      </c>
      <c r="G433" s="5" t="s">
        <v>55</v>
      </c>
    </row>
    <row r="434" spans="2:7" ht="18" hidden="1">
      <c r="B434" s="55">
        <v>45935</v>
      </c>
      <c r="C434" s="79">
        <v>-73</v>
      </c>
      <c r="D434" s="14" t="s">
        <v>147</v>
      </c>
      <c r="E434" s="5" t="s">
        <v>118</v>
      </c>
      <c r="F434" s="5" t="s">
        <v>53</v>
      </c>
      <c r="G434" s="5" t="s">
        <v>56</v>
      </c>
    </row>
    <row r="435" spans="2:7" ht="18" hidden="1">
      <c r="B435" s="55">
        <v>45935</v>
      </c>
      <c r="C435" s="79">
        <v>-25</v>
      </c>
      <c r="D435" s="14" t="s">
        <v>147</v>
      </c>
      <c r="E435" s="5" t="s">
        <v>118</v>
      </c>
      <c r="F435" s="5" t="s">
        <v>53</v>
      </c>
      <c r="G435" s="5" t="s">
        <v>56</v>
      </c>
    </row>
    <row r="436" spans="2:7" ht="18" hidden="1">
      <c r="B436" s="55">
        <v>45936</v>
      </c>
      <c r="C436" s="79">
        <v>-190</v>
      </c>
      <c r="D436" s="14" t="s">
        <v>147</v>
      </c>
      <c r="E436" s="5" t="s">
        <v>118</v>
      </c>
      <c r="F436" s="5" t="s">
        <v>38</v>
      </c>
      <c r="G436" s="5" t="s">
        <v>48</v>
      </c>
    </row>
    <row r="437" spans="2:7" ht="18" hidden="1">
      <c r="B437" s="55">
        <v>45936</v>
      </c>
      <c r="C437" s="79">
        <v>-61</v>
      </c>
      <c r="D437" s="14" t="s">
        <v>147</v>
      </c>
      <c r="E437" s="5" t="s">
        <v>118</v>
      </c>
      <c r="F437" s="5" t="s">
        <v>53</v>
      </c>
      <c r="G437" s="5" t="s">
        <v>55</v>
      </c>
    </row>
    <row r="438" spans="2:7" ht="18" hidden="1">
      <c r="B438" s="55">
        <v>45936</v>
      </c>
      <c r="C438" s="79">
        <v>-50</v>
      </c>
      <c r="D438" s="14" t="s">
        <v>147</v>
      </c>
      <c r="E438" s="5" t="s">
        <v>118</v>
      </c>
      <c r="F438" s="5" t="s">
        <v>38</v>
      </c>
      <c r="G438" s="5" t="s">
        <v>50</v>
      </c>
    </row>
    <row r="439" spans="2:7" ht="18" hidden="1">
      <c r="B439" s="55">
        <v>45937</v>
      </c>
      <c r="C439" s="79">
        <v>-50</v>
      </c>
      <c r="D439" s="14" t="s">
        <v>147</v>
      </c>
      <c r="E439" s="5" t="s">
        <v>118</v>
      </c>
      <c r="F439" s="5" t="s">
        <v>38</v>
      </c>
      <c r="G439" s="5" t="s">
        <v>50</v>
      </c>
    </row>
    <row r="440" spans="2:7" ht="18" hidden="1">
      <c r="B440" s="55">
        <v>45937</v>
      </c>
      <c r="C440" s="79">
        <v>1022.207</v>
      </c>
      <c r="D440" s="14" t="s">
        <v>147</v>
      </c>
      <c r="E440" s="5" t="s">
        <v>34</v>
      </c>
      <c r="F440" s="5" t="s">
        <v>36</v>
      </c>
      <c r="G440" s="5" t="s">
        <v>42</v>
      </c>
    </row>
    <row r="441" spans="2:7" ht="18" hidden="1">
      <c r="B441" s="55">
        <v>45938</v>
      </c>
      <c r="C441" s="79">
        <v>-2</v>
      </c>
      <c r="D441" s="14" t="s">
        <v>95</v>
      </c>
      <c r="E441" s="5" t="s">
        <v>118</v>
      </c>
      <c r="F441" s="5" t="s">
        <v>53</v>
      </c>
      <c r="G441" s="5" t="s">
        <v>55</v>
      </c>
    </row>
    <row r="442" spans="2:7" ht="18" hidden="1">
      <c r="B442" s="55">
        <v>45938</v>
      </c>
      <c r="C442" s="79">
        <v>-59</v>
      </c>
      <c r="D442" s="14" t="s">
        <v>147</v>
      </c>
      <c r="E442" s="5" t="s">
        <v>118</v>
      </c>
      <c r="F442" s="5" t="s">
        <v>53</v>
      </c>
      <c r="G442" s="5" t="s">
        <v>56</v>
      </c>
    </row>
    <row r="443" spans="2:7" ht="18" hidden="1">
      <c r="B443" s="55">
        <v>45938</v>
      </c>
      <c r="C443" s="79">
        <v>-59</v>
      </c>
      <c r="D443" s="14" t="s">
        <v>147</v>
      </c>
      <c r="E443" s="5" t="s">
        <v>118</v>
      </c>
      <c r="F443" s="5" t="s">
        <v>53</v>
      </c>
      <c r="G443" s="5" t="s">
        <v>56</v>
      </c>
    </row>
    <row r="444" spans="2:7" ht="18" hidden="1">
      <c r="B444" s="55">
        <v>45939</v>
      </c>
      <c r="C444" s="79">
        <v>-50</v>
      </c>
      <c r="D444" s="14" t="s">
        <v>147</v>
      </c>
      <c r="E444" s="5" t="s">
        <v>118</v>
      </c>
      <c r="F444" s="5" t="s">
        <v>38</v>
      </c>
      <c r="G444" s="5" t="s">
        <v>50</v>
      </c>
    </row>
    <row r="445" spans="2:7" ht="18" hidden="1">
      <c r="B445" s="55">
        <v>45939</v>
      </c>
      <c r="C445" s="79">
        <v>-5</v>
      </c>
      <c r="D445" s="14" t="s">
        <v>95</v>
      </c>
      <c r="E445" s="5" t="s">
        <v>118</v>
      </c>
      <c r="F445" s="5" t="s">
        <v>38</v>
      </c>
      <c r="G445" s="5" t="s">
        <v>51</v>
      </c>
    </row>
    <row r="446" spans="2:7" ht="18" hidden="1">
      <c r="B446" s="55">
        <v>45939</v>
      </c>
      <c r="C446" s="79">
        <v>-15</v>
      </c>
      <c r="D446" s="14" t="s">
        <v>147</v>
      </c>
      <c r="E446" s="5" t="s">
        <v>118</v>
      </c>
      <c r="F446" s="5" t="s">
        <v>53</v>
      </c>
      <c r="G446" s="5" t="s">
        <v>56</v>
      </c>
    </row>
    <row r="447" spans="2:7" ht="18" hidden="1">
      <c r="B447" s="55">
        <v>45939</v>
      </c>
      <c r="C447" s="79">
        <v>-38</v>
      </c>
      <c r="D447" s="14" t="s">
        <v>147</v>
      </c>
      <c r="E447" s="5" t="s">
        <v>118</v>
      </c>
      <c r="F447" s="5" t="s">
        <v>53</v>
      </c>
      <c r="G447" s="5" t="s">
        <v>56</v>
      </c>
    </row>
    <row r="448" spans="2:7" ht="18" hidden="1">
      <c r="B448" s="55">
        <v>45940</v>
      </c>
      <c r="C448" s="79">
        <v>-100</v>
      </c>
      <c r="D448" s="14" t="s">
        <v>149</v>
      </c>
      <c r="E448" s="5" t="s">
        <v>118</v>
      </c>
      <c r="F448" s="5" t="s">
        <v>38</v>
      </c>
      <c r="G448" s="5" t="s">
        <v>50</v>
      </c>
    </row>
    <row r="449" spans="2:7" ht="18" hidden="1">
      <c r="B449" s="55">
        <v>45942</v>
      </c>
      <c r="C449" s="79">
        <v>-40</v>
      </c>
      <c r="D449" s="14" t="s">
        <v>149</v>
      </c>
      <c r="E449" s="5" t="s">
        <v>118</v>
      </c>
      <c r="F449" s="5" t="s">
        <v>38</v>
      </c>
      <c r="G449" s="5" t="s">
        <v>50</v>
      </c>
    </row>
    <row r="450" spans="2:7" ht="18" hidden="1">
      <c r="B450" s="55">
        <v>45942</v>
      </c>
      <c r="C450" s="79">
        <v>-40</v>
      </c>
      <c r="D450" s="14" t="s">
        <v>149</v>
      </c>
      <c r="E450" s="5" t="s">
        <v>118</v>
      </c>
      <c r="F450" s="5" t="s">
        <v>53</v>
      </c>
      <c r="G450" s="5" t="s">
        <v>55</v>
      </c>
    </row>
    <row r="451" spans="2:7" ht="18" hidden="1">
      <c r="B451" s="55">
        <v>45941</v>
      </c>
      <c r="C451" s="79">
        <v>-50</v>
      </c>
      <c r="D451" s="14" t="s">
        <v>95</v>
      </c>
      <c r="E451" s="5" t="s">
        <v>118</v>
      </c>
      <c r="F451" s="5" t="s">
        <v>53</v>
      </c>
      <c r="G451" s="5" t="s">
        <v>55</v>
      </c>
    </row>
    <row r="452" spans="2:7" ht="18" hidden="1">
      <c r="B452" s="55">
        <v>45942</v>
      </c>
      <c r="C452" s="79">
        <v>-33</v>
      </c>
      <c r="D452" s="14" t="s">
        <v>95</v>
      </c>
      <c r="E452" s="5" t="s">
        <v>118</v>
      </c>
      <c r="F452" s="5" t="s">
        <v>53</v>
      </c>
      <c r="G452" s="5" t="s">
        <v>55</v>
      </c>
    </row>
    <row r="453" spans="2:7" ht="18" hidden="1">
      <c r="B453" s="55">
        <v>45942</v>
      </c>
      <c r="C453" s="79">
        <v>-60</v>
      </c>
      <c r="D453" s="14" t="s">
        <v>95</v>
      </c>
      <c r="E453" s="5" t="s">
        <v>118</v>
      </c>
      <c r="F453" s="5" t="s">
        <v>53</v>
      </c>
      <c r="G453" s="5" t="s">
        <v>55</v>
      </c>
    </row>
    <row r="454" spans="2:7" ht="18" hidden="1">
      <c r="B454" s="55">
        <v>45943</v>
      </c>
      <c r="C454" s="79">
        <v>-3</v>
      </c>
      <c r="D454" s="14" t="s">
        <v>95</v>
      </c>
      <c r="E454" s="5" t="s">
        <v>118</v>
      </c>
      <c r="F454" s="5" t="s">
        <v>38</v>
      </c>
      <c r="G454" s="5" t="s">
        <v>51</v>
      </c>
    </row>
    <row r="455" spans="2:7" ht="18" hidden="1">
      <c r="B455" s="55">
        <v>45943</v>
      </c>
      <c r="C455" s="79">
        <v>-110</v>
      </c>
      <c r="D455" s="14" t="s">
        <v>95</v>
      </c>
      <c r="E455" s="5" t="s">
        <v>118</v>
      </c>
      <c r="F455" s="5" t="s">
        <v>53</v>
      </c>
      <c r="G455" s="5" t="s">
        <v>56</v>
      </c>
    </row>
    <row r="456" spans="2:7" ht="18" hidden="1">
      <c r="B456" s="55">
        <v>45943</v>
      </c>
      <c r="C456" s="79">
        <v>-36</v>
      </c>
      <c r="D456" s="14" t="s">
        <v>95</v>
      </c>
      <c r="E456" s="5" t="s">
        <v>118</v>
      </c>
      <c r="F456" s="5" t="s">
        <v>53</v>
      </c>
      <c r="G456" s="5" t="s">
        <v>56</v>
      </c>
    </row>
    <row r="457" spans="2:7" ht="18" hidden="1">
      <c r="B457" s="55">
        <v>45943</v>
      </c>
      <c r="C457" s="79">
        <v>-40</v>
      </c>
      <c r="D457" s="14" t="s">
        <v>95</v>
      </c>
      <c r="E457" s="5" t="s">
        <v>118</v>
      </c>
      <c r="F457" s="5" t="s">
        <v>38</v>
      </c>
      <c r="G457" s="5" t="s">
        <v>51</v>
      </c>
    </row>
    <row r="458" spans="2:7" ht="18" hidden="1">
      <c r="B458" s="55">
        <v>45944</v>
      </c>
      <c r="C458" s="79">
        <v>1000</v>
      </c>
      <c r="D458" s="14" t="s">
        <v>147</v>
      </c>
      <c r="E458" s="5" t="s">
        <v>34</v>
      </c>
      <c r="F458" s="5" t="s">
        <v>36</v>
      </c>
      <c r="G458" s="5" t="s">
        <v>42</v>
      </c>
    </row>
    <row r="459" spans="2:7" ht="18" hidden="1">
      <c r="B459" s="55">
        <v>45944</v>
      </c>
      <c r="C459" s="79">
        <v>-143.989</v>
      </c>
      <c r="D459" s="14" t="s">
        <v>147</v>
      </c>
      <c r="E459" s="5" t="s">
        <v>118</v>
      </c>
      <c r="F459" s="5" t="s">
        <v>38</v>
      </c>
      <c r="G459" s="5" t="s">
        <v>48</v>
      </c>
    </row>
    <row r="460" spans="2:7" ht="18" hidden="1">
      <c r="B460" s="55">
        <v>45945</v>
      </c>
      <c r="C460" s="79">
        <v>-35</v>
      </c>
      <c r="D460" s="14" t="s">
        <v>147</v>
      </c>
      <c r="E460" s="5" t="s">
        <v>118</v>
      </c>
      <c r="F460" s="5" t="s">
        <v>53</v>
      </c>
      <c r="G460" s="5" t="s">
        <v>55</v>
      </c>
    </row>
    <row r="461" spans="2:7" ht="18" hidden="1">
      <c r="B461" s="55">
        <v>45945</v>
      </c>
      <c r="C461" s="79">
        <v>-54</v>
      </c>
      <c r="D461" s="14" t="s">
        <v>147</v>
      </c>
      <c r="E461" s="5" t="s">
        <v>118</v>
      </c>
      <c r="F461" s="5" t="s">
        <v>38</v>
      </c>
      <c r="G461" s="5" t="s">
        <v>51</v>
      </c>
    </row>
    <row r="462" spans="2:7" ht="18" hidden="1">
      <c r="B462" s="55">
        <v>45945</v>
      </c>
      <c r="C462" s="79">
        <v>-40</v>
      </c>
      <c r="D462" s="14" t="s">
        <v>147</v>
      </c>
      <c r="E462" s="5" t="s">
        <v>118</v>
      </c>
      <c r="F462" s="5" t="s">
        <v>38</v>
      </c>
      <c r="G462" s="5" t="s">
        <v>51</v>
      </c>
    </row>
    <row r="463" spans="2:7" ht="18" hidden="1">
      <c r="B463" s="55">
        <v>45945</v>
      </c>
      <c r="C463" s="79">
        <v>-50</v>
      </c>
      <c r="D463" s="14" t="s">
        <v>95</v>
      </c>
      <c r="E463" s="5" t="s">
        <v>118</v>
      </c>
      <c r="F463" s="5" t="s">
        <v>38</v>
      </c>
      <c r="G463" s="5" t="s">
        <v>50</v>
      </c>
    </row>
    <row r="464" spans="2:7" ht="18" hidden="1">
      <c r="B464" s="55">
        <v>45945</v>
      </c>
      <c r="C464" s="79">
        <v>-44</v>
      </c>
      <c r="D464" s="14" t="s">
        <v>95</v>
      </c>
      <c r="E464" s="5" t="s">
        <v>118</v>
      </c>
      <c r="F464" s="5" t="s">
        <v>53</v>
      </c>
      <c r="G464" s="5" t="s">
        <v>55</v>
      </c>
    </row>
    <row r="465" spans="2:7" ht="18" hidden="1">
      <c r="B465" s="55">
        <v>45947</v>
      </c>
      <c r="C465" s="79">
        <v>-20</v>
      </c>
      <c r="D465" s="14" t="s">
        <v>95</v>
      </c>
      <c r="E465" s="5" t="s">
        <v>118</v>
      </c>
      <c r="F465" s="5" t="s">
        <v>53</v>
      </c>
      <c r="G465" s="5" t="s">
        <v>55</v>
      </c>
    </row>
    <row r="466" spans="2:7" ht="18" hidden="1">
      <c r="B466" s="55">
        <v>45947</v>
      </c>
      <c r="C466" s="79">
        <v>-20</v>
      </c>
      <c r="D466" s="14" t="s">
        <v>147</v>
      </c>
      <c r="E466" s="5" t="s">
        <v>118</v>
      </c>
      <c r="F466" s="5" t="s">
        <v>53</v>
      </c>
      <c r="G466" s="5" t="s">
        <v>56</v>
      </c>
    </row>
    <row r="467" spans="2:7" ht="18" hidden="1">
      <c r="B467" s="55">
        <v>45947</v>
      </c>
      <c r="C467" s="79">
        <v>-3</v>
      </c>
      <c r="D467" s="14" t="s">
        <v>95</v>
      </c>
      <c r="E467" s="5" t="s">
        <v>118</v>
      </c>
      <c r="F467" s="5" t="s">
        <v>38</v>
      </c>
      <c r="G467" s="5" t="s">
        <v>51</v>
      </c>
    </row>
    <row r="468" spans="2:7" ht="18" hidden="1">
      <c r="B468" s="55">
        <v>45947</v>
      </c>
      <c r="C468" s="79">
        <v>-20</v>
      </c>
      <c r="D468" s="14" t="s">
        <v>147</v>
      </c>
      <c r="E468" s="5" t="s">
        <v>118</v>
      </c>
      <c r="F468" s="5" t="s">
        <v>53</v>
      </c>
      <c r="G468" s="5" t="s">
        <v>56</v>
      </c>
    </row>
    <row r="469" spans="2:7" ht="18" hidden="1">
      <c r="B469" s="55">
        <v>45947</v>
      </c>
      <c r="C469" s="79">
        <v>-20</v>
      </c>
      <c r="D469" s="14" t="s">
        <v>147</v>
      </c>
      <c r="E469" s="5" t="s">
        <v>118</v>
      </c>
      <c r="F469" s="5" t="s">
        <v>53</v>
      </c>
      <c r="G469" s="5" t="s">
        <v>55</v>
      </c>
    </row>
    <row r="470" spans="2:7" ht="18" hidden="1">
      <c r="B470" s="55">
        <v>45947</v>
      </c>
      <c r="C470" s="79">
        <v>-20</v>
      </c>
      <c r="D470" s="14" t="s">
        <v>147</v>
      </c>
      <c r="E470" s="5" t="s">
        <v>118</v>
      </c>
      <c r="F470" s="5" t="s">
        <v>53</v>
      </c>
      <c r="G470" s="5" t="s">
        <v>55</v>
      </c>
    </row>
    <row r="471" spans="2:7" ht="18" hidden="1">
      <c r="B471" s="55">
        <v>45948</v>
      </c>
      <c r="C471" s="79">
        <v>-10</v>
      </c>
      <c r="D471" s="14" t="s">
        <v>147</v>
      </c>
      <c r="E471" s="5" t="s">
        <v>118</v>
      </c>
      <c r="F471" s="5" t="s">
        <v>38</v>
      </c>
      <c r="G471" s="5" t="s">
        <v>50</v>
      </c>
    </row>
    <row r="472" spans="2:7" ht="18" hidden="1">
      <c r="B472" s="55">
        <v>45948</v>
      </c>
      <c r="C472" s="79">
        <v>-25</v>
      </c>
      <c r="D472" s="14" t="s">
        <v>147</v>
      </c>
      <c r="E472" s="5" t="s">
        <v>118</v>
      </c>
      <c r="F472" s="5" t="s">
        <v>38</v>
      </c>
      <c r="G472" s="5" t="s">
        <v>50</v>
      </c>
    </row>
    <row r="473" spans="2:7" ht="18" hidden="1">
      <c r="B473" s="55">
        <v>45948</v>
      </c>
      <c r="C473" s="79">
        <v>-30</v>
      </c>
      <c r="D473" s="14" t="s">
        <v>147</v>
      </c>
      <c r="E473" s="5" t="s">
        <v>118</v>
      </c>
      <c r="F473" s="5" t="s">
        <v>53</v>
      </c>
      <c r="G473" s="5" t="s">
        <v>56</v>
      </c>
    </row>
    <row r="474" spans="2:7" ht="18" hidden="1">
      <c r="B474" s="55">
        <v>45948</v>
      </c>
      <c r="C474" s="79">
        <v>1.6E-2</v>
      </c>
      <c r="D474" s="14" t="s">
        <v>147</v>
      </c>
      <c r="E474" s="5" t="s">
        <v>34</v>
      </c>
      <c r="F474" s="5" t="s">
        <v>36</v>
      </c>
      <c r="G474" s="5" t="s">
        <v>42</v>
      </c>
    </row>
    <row r="475" spans="2:7" ht="18" hidden="1">
      <c r="B475" s="55">
        <v>45948</v>
      </c>
      <c r="C475" s="79">
        <v>-52</v>
      </c>
      <c r="D475" s="14" t="s">
        <v>95</v>
      </c>
      <c r="E475" s="5" t="s">
        <v>118</v>
      </c>
      <c r="F475" s="5" t="s">
        <v>38</v>
      </c>
      <c r="G475" s="5" t="s">
        <v>50</v>
      </c>
    </row>
    <row r="476" spans="2:7" ht="18" hidden="1">
      <c r="B476" s="55">
        <v>45949</v>
      </c>
      <c r="C476" s="79">
        <v>-45.014000000000003</v>
      </c>
      <c r="D476" s="14" t="s">
        <v>147</v>
      </c>
      <c r="E476" s="5" t="s">
        <v>118</v>
      </c>
      <c r="F476" s="5" t="s">
        <v>38</v>
      </c>
      <c r="G476" s="5" t="s">
        <v>50</v>
      </c>
    </row>
    <row r="477" spans="2:7" ht="18" hidden="1">
      <c r="B477" s="55">
        <v>45949</v>
      </c>
      <c r="C477" s="79">
        <v>-10</v>
      </c>
      <c r="D477" s="14" t="s">
        <v>147</v>
      </c>
      <c r="E477" s="5" t="s">
        <v>118</v>
      </c>
      <c r="F477" s="5" t="s">
        <v>38</v>
      </c>
      <c r="G477" s="5" t="s">
        <v>50</v>
      </c>
    </row>
    <row r="478" spans="2:7" ht="18" hidden="1">
      <c r="B478" s="55">
        <v>45949</v>
      </c>
      <c r="C478" s="79">
        <v>25</v>
      </c>
      <c r="D478" s="14" t="s">
        <v>147</v>
      </c>
      <c r="E478" s="5" t="s">
        <v>34</v>
      </c>
      <c r="F478" s="5" t="s">
        <v>35</v>
      </c>
      <c r="G478" s="5" t="s">
        <v>39</v>
      </c>
    </row>
    <row r="479" spans="2:7" ht="18" hidden="1">
      <c r="B479" s="55">
        <v>45949</v>
      </c>
      <c r="C479" s="79">
        <v>-100</v>
      </c>
      <c r="D479" s="14" t="s">
        <v>147</v>
      </c>
      <c r="E479" s="5" t="s">
        <v>118</v>
      </c>
      <c r="F479" s="5" t="s">
        <v>53</v>
      </c>
      <c r="G479" s="5" t="s">
        <v>56</v>
      </c>
    </row>
    <row r="480" spans="2:7" ht="18" hidden="1">
      <c r="B480" s="55">
        <v>45950</v>
      </c>
      <c r="C480" s="79">
        <v>-20</v>
      </c>
      <c r="D480" s="14" t="s">
        <v>149</v>
      </c>
      <c r="E480" s="5" t="s">
        <v>118</v>
      </c>
      <c r="F480" s="5" t="s">
        <v>53</v>
      </c>
      <c r="G480" s="5" t="s">
        <v>56</v>
      </c>
    </row>
    <row r="481" spans="2:7" ht="18" hidden="1">
      <c r="B481" s="55">
        <v>45950</v>
      </c>
      <c r="C481" s="79">
        <v>-20</v>
      </c>
      <c r="D481" s="14" t="s">
        <v>149</v>
      </c>
      <c r="E481" s="5" t="s">
        <v>118</v>
      </c>
      <c r="F481" s="5" t="s">
        <v>53</v>
      </c>
      <c r="G481" s="5" t="s">
        <v>55</v>
      </c>
    </row>
    <row r="482" spans="2:7" ht="18" hidden="1">
      <c r="B482" s="55">
        <v>45950</v>
      </c>
      <c r="C482" s="79">
        <v>-540</v>
      </c>
      <c r="D482" s="14" t="s">
        <v>149</v>
      </c>
      <c r="E482" s="5" t="s">
        <v>118</v>
      </c>
      <c r="F482" s="5" t="s">
        <v>53</v>
      </c>
      <c r="G482" s="5" t="s">
        <v>56</v>
      </c>
    </row>
    <row r="483" spans="2:7" ht="18" hidden="1">
      <c r="B483" s="55">
        <v>45950</v>
      </c>
      <c r="C483" s="79">
        <v>-15</v>
      </c>
      <c r="D483" s="14" t="s">
        <v>95</v>
      </c>
      <c r="E483" s="5" t="s">
        <v>118</v>
      </c>
      <c r="F483" s="5" t="s">
        <v>53</v>
      </c>
      <c r="G483" s="5" t="s">
        <v>56</v>
      </c>
    </row>
    <row r="484" spans="2:7" ht="18" hidden="1">
      <c r="B484" s="55">
        <v>45951</v>
      </c>
      <c r="C484" s="79">
        <v>80</v>
      </c>
      <c r="D484" s="14" t="s">
        <v>147</v>
      </c>
      <c r="E484" s="5" t="s">
        <v>34</v>
      </c>
      <c r="F484" s="5" t="s">
        <v>35</v>
      </c>
      <c r="G484" s="5" t="s">
        <v>39</v>
      </c>
    </row>
    <row r="485" spans="2:7" ht="18" hidden="1">
      <c r="B485" s="55">
        <v>45951</v>
      </c>
      <c r="C485" s="79">
        <v>1000</v>
      </c>
      <c r="D485" s="14" t="s">
        <v>147</v>
      </c>
      <c r="E485" s="5" t="s">
        <v>34</v>
      </c>
      <c r="F485" s="5" t="s">
        <v>36</v>
      </c>
      <c r="G485" s="5" t="s">
        <v>42</v>
      </c>
    </row>
    <row r="486" spans="2:7" ht="18" hidden="1">
      <c r="B486" s="55">
        <v>45951</v>
      </c>
      <c r="C486" s="79">
        <v>-25</v>
      </c>
      <c r="D486" s="14" t="s">
        <v>147</v>
      </c>
      <c r="E486" s="5" t="s">
        <v>118</v>
      </c>
      <c r="F486" s="5" t="s">
        <v>53</v>
      </c>
      <c r="G486" s="5" t="s">
        <v>56</v>
      </c>
    </row>
    <row r="487" spans="2:7" ht="18" hidden="1">
      <c r="B487" s="55">
        <v>45951</v>
      </c>
      <c r="C487" s="79">
        <v>-5</v>
      </c>
      <c r="D487" s="14" t="s">
        <v>95</v>
      </c>
      <c r="E487" s="5" t="s">
        <v>118</v>
      </c>
      <c r="F487" s="5" t="s">
        <v>38</v>
      </c>
      <c r="G487" s="5" t="s">
        <v>51</v>
      </c>
    </row>
    <row r="488" spans="2:7" ht="18" hidden="1">
      <c r="B488" s="55">
        <v>45952</v>
      </c>
      <c r="C488" s="79">
        <v>-47.5</v>
      </c>
      <c r="D488" s="14" t="s">
        <v>147</v>
      </c>
      <c r="E488" s="5" t="s">
        <v>118</v>
      </c>
      <c r="F488" s="5" t="s">
        <v>53</v>
      </c>
      <c r="G488" s="5" t="s">
        <v>56</v>
      </c>
    </row>
    <row r="489" spans="2:7" ht="18" hidden="1">
      <c r="B489" s="55">
        <v>45952</v>
      </c>
      <c r="C489" s="79">
        <v>-47.5</v>
      </c>
      <c r="D489" s="14" t="s">
        <v>147</v>
      </c>
      <c r="E489" s="5" t="s">
        <v>118</v>
      </c>
      <c r="F489" s="5" t="s">
        <v>53</v>
      </c>
      <c r="G489" s="5" t="s">
        <v>55</v>
      </c>
    </row>
    <row r="490" spans="2:7" ht="18" hidden="1">
      <c r="B490" s="55">
        <v>45953</v>
      </c>
      <c r="C490" s="79">
        <v>-55</v>
      </c>
      <c r="D490" s="14" t="s">
        <v>95</v>
      </c>
      <c r="E490" s="5" t="s">
        <v>118</v>
      </c>
      <c r="F490" s="5" t="s">
        <v>38</v>
      </c>
      <c r="G490" s="5" t="s">
        <v>50</v>
      </c>
    </row>
    <row r="491" spans="2:7" ht="18" hidden="1">
      <c r="B491" s="55">
        <v>45953</v>
      </c>
      <c r="C491" s="79">
        <v>810</v>
      </c>
      <c r="D491" s="14" t="s">
        <v>147</v>
      </c>
      <c r="E491" s="5" t="s">
        <v>34</v>
      </c>
      <c r="F491" s="5" t="s">
        <v>35</v>
      </c>
      <c r="G491" s="5" t="s">
        <v>39</v>
      </c>
    </row>
    <row r="492" spans="2:7" ht="18" hidden="1">
      <c r="B492" s="55">
        <v>45953</v>
      </c>
      <c r="C492" s="79">
        <v>-16</v>
      </c>
      <c r="D492" s="14" t="s">
        <v>147</v>
      </c>
      <c r="E492" s="5" t="s">
        <v>118</v>
      </c>
      <c r="F492" s="5" t="s">
        <v>53</v>
      </c>
      <c r="G492" s="5" t="s">
        <v>56</v>
      </c>
    </row>
    <row r="493" spans="2:7" ht="18" hidden="1">
      <c r="B493" s="55">
        <v>45953</v>
      </c>
      <c r="C493" s="79">
        <v>-45</v>
      </c>
      <c r="D493" s="14" t="s">
        <v>95</v>
      </c>
      <c r="E493" s="5" t="s">
        <v>118</v>
      </c>
      <c r="F493" s="5" t="s">
        <v>53</v>
      </c>
      <c r="G493" s="5" t="s">
        <v>56</v>
      </c>
    </row>
    <row r="494" spans="2:7" ht="18" hidden="1">
      <c r="B494" s="55">
        <v>45953</v>
      </c>
      <c r="C494" s="79">
        <v>-30</v>
      </c>
      <c r="D494" s="14" t="s">
        <v>147</v>
      </c>
      <c r="E494" s="5" t="s">
        <v>118</v>
      </c>
      <c r="F494" s="5" t="s">
        <v>53</v>
      </c>
      <c r="G494" s="5" t="s">
        <v>56</v>
      </c>
    </row>
    <row r="495" spans="2:7" ht="18" hidden="1">
      <c r="B495" s="55">
        <v>45954</v>
      </c>
      <c r="C495" s="79">
        <v>-20</v>
      </c>
      <c r="D495" s="14" t="s">
        <v>95</v>
      </c>
      <c r="E495" s="5" t="s">
        <v>118</v>
      </c>
      <c r="F495" s="5" t="s">
        <v>53</v>
      </c>
      <c r="G495" s="5" t="s">
        <v>55</v>
      </c>
    </row>
    <row r="496" spans="2:7" ht="18" hidden="1">
      <c r="B496" s="55">
        <v>45954</v>
      </c>
      <c r="C496" s="79">
        <v>-12</v>
      </c>
      <c r="D496" s="14" t="s">
        <v>95</v>
      </c>
      <c r="E496" s="5" t="s">
        <v>118</v>
      </c>
      <c r="F496" s="5" t="s">
        <v>38</v>
      </c>
      <c r="G496" s="5" t="s">
        <v>50</v>
      </c>
    </row>
    <row r="497" spans="2:7" ht="18" hidden="1">
      <c r="B497" s="55">
        <v>45954</v>
      </c>
      <c r="C497" s="79">
        <v>-190</v>
      </c>
      <c r="D497" s="14" t="s">
        <v>147</v>
      </c>
      <c r="E497" s="5" t="s">
        <v>118</v>
      </c>
      <c r="F497" s="5" t="s">
        <v>38</v>
      </c>
      <c r="G497" s="5" t="s">
        <v>48</v>
      </c>
    </row>
    <row r="498" spans="2:7" ht="18" hidden="1">
      <c r="B498" s="55">
        <v>45954</v>
      </c>
      <c r="C498" s="79">
        <v>-16</v>
      </c>
      <c r="D498" s="14" t="s">
        <v>147</v>
      </c>
      <c r="E498" s="5" t="s">
        <v>118</v>
      </c>
      <c r="F498" s="5" t="s">
        <v>53</v>
      </c>
      <c r="G498" s="5" t="s">
        <v>56</v>
      </c>
    </row>
    <row r="499" spans="2:7" ht="18" hidden="1">
      <c r="B499" s="55">
        <v>45955</v>
      </c>
      <c r="C499" s="79">
        <v>-66</v>
      </c>
      <c r="D499" s="14" t="s">
        <v>147</v>
      </c>
      <c r="E499" s="5" t="s">
        <v>118</v>
      </c>
      <c r="F499" s="5" t="s">
        <v>38</v>
      </c>
      <c r="G499" s="5" t="s">
        <v>51</v>
      </c>
    </row>
    <row r="500" spans="2:7" ht="18" hidden="1">
      <c r="B500" s="55">
        <v>45955</v>
      </c>
      <c r="C500" s="79">
        <v>-48.333333333333343</v>
      </c>
      <c r="D500" s="14" t="s">
        <v>147</v>
      </c>
      <c r="E500" s="5" t="s">
        <v>118</v>
      </c>
      <c r="F500" s="5" t="s">
        <v>53</v>
      </c>
      <c r="G500" s="5" t="s">
        <v>55</v>
      </c>
    </row>
    <row r="501" spans="2:7" ht="18" hidden="1">
      <c r="B501" s="55">
        <v>45955</v>
      </c>
      <c r="C501" s="79">
        <v>-73.333333333333343</v>
      </c>
      <c r="D501" s="14" t="s">
        <v>147</v>
      </c>
      <c r="E501" s="5" t="s">
        <v>118</v>
      </c>
      <c r="F501" s="5" t="s">
        <v>53</v>
      </c>
      <c r="G501" s="5" t="s">
        <v>55</v>
      </c>
    </row>
    <row r="502" spans="2:7" ht="18" hidden="1">
      <c r="B502" s="55">
        <v>45955</v>
      </c>
      <c r="C502" s="79">
        <v>-63.333333333333343</v>
      </c>
      <c r="D502" s="14" t="s">
        <v>147</v>
      </c>
      <c r="E502" s="5" t="s">
        <v>118</v>
      </c>
      <c r="F502" s="5" t="s">
        <v>53</v>
      </c>
      <c r="G502" s="5" t="s">
        <v>55</v>
      </c>
    </row>
    <row r="503" spans="2:7" ht="18" hidden="1">
      <c r="B503" s="55">
        <v>45955</v>
      </c>
      <c r="C503" s="79">
        <v>-15</v>
      </c>
      <c r="D503" s="14" t="s">
        <v>147</v>
      </c>
      <c r="E503" s="5" t="s">
        <v>118</v>
      </c>
      <c r="F503" s="5" t="s">
        <v>53</v>
      </c>
      <c r="G503" s="5" t="s">
        <v>56</v>
      </c>
    </row>
    <row r="504" spans="2:7" ht="18" hidden="1">
      <c r="B504" s="55">
        <v>45956</v>
      </c>
      <c r="C504" s="79">
        <v>-60</v>
      </c>
      <c r="D504" s="14" t="s">
        <v>147</v>
      </c>
      <c r="E504" s="5" t="s">
        <v>118</v>
      </c>
      <c r="F504" s="5" t="s">
        <v>53</v>
      </c>
      <c r="G504" s="5" t="s">
        <v>55</v>
      </c>
    </row>
    <row r="505" spans="2:7" ht="18" hidden="1">
      <c r="B505" s="55">
        <v>45956</v>
      </c>
      <c r="C505" s="79">
        <v>-115</v>
      </c>
      <c r="D505" s="14" t="s">
        <v>147</v>
      </c>
      <c r="E505" s="5" t="s">
        <v>118</v>
      </c>
      <c r="F505" s="5" t="s">
        <v>53</v>
      </c>
      <c r="G505" s="5" t="s">
        <v>56</v>
      </c>
    </row>
    <row r="506" spans="2:7" ht="18" hidden="1">
      <c r="B506" s="55">
        <v>45956</v>
      </c>
      <c r="C506" s="79">
        <v>-100</v>
      </c>
      <c r="D506" s="14" t="s">
        <v>147</v>
      </c>
      <c r="E506" s="5" t="s">
        <v>118</v>
      </c>
      <c r="F506" s="5" t="s">
        <v>53</v>
      </c>
      <c r="G506" s="5" t="s">
        <v>56</v>
      </c>
    </row>
    <row r="507" spans="2:7" ht="18" hidden="1">
      <c r="B507" s="55">
        <v>45955</v>
      </c>
      <c r="C507" s="79">
        <v>-50</v>
      </c>
      <c r="D507" s="14" t="s">
        <v>95</v>
      </c>
      <c r="E507" s="5" t="s">
        <v>118</v>
      </c>
      <c r="F507" s="5" t="s">
        <v>38</v>
      </c>
      <c r="G507" s="5" t="s">
        <v>51</v>
      </c>
    </row>
    <row r="508" spans="2:7" ht="18" hidden="1">
      <c r="B508" s="55">
        <v>45955</v>
      </c>
      <c r="C508" s="79">
        <v>-55</v>
      </c>
      <c r="D508" s="14" t="s">
        <v>95</v>
      </c>
      <c r="E508" s="5" t="s">
        <v>118</v>
      </c>
      <c r="F508" s="5" t="s">
        <v>38</v>
      </c>
      <c r="G508" s="5" t="s">
        <v>51</v>
      </c>
    </row>
    <row r="509" spans="2:7" ht="18" hidden="1">
      <c r="B509" s="55">
        <v>45955</v>
      </c>
      <c r="C509" s="79">
        <v>-40</v>
      </c>
      <c r="D509" s="14" t="s">
        <v>95</v>
      </c>
      <c r="E509" s="5" t="s">
        <v>118</v>
      </c>
      <c r="F509" s="5" t="s">
        <v>53</v>
      </c>
      <c r="G509" s="5" t="s">
        <v>56</v>
      </c>
    </row>
    <row r="510" spans="2:7" ht="18" hidden="1">
      <c r="B510" s="55">
        <v>45956</v>
      </c>
      <c r="C510" s="79">
        <v>2.4E-2</v>
      </c>
      <c r="D510" s="14" t="s">
        <v>148</v>
      </c>
      <c r="E510" s="5" t="s">
        <v>34</v>
      </c>
      <c r="F510" s="5" t="s">
        <v>36</v>
      </c>
      <c r="G510" s="5" t="s">
        <v>42</v>
      </c>
    </row>
    <row r="511" spans="2:7" ht="18" hidden="1">
      <c r="B511" s="55">
        <v>45957</v>
      </c>
      <c r="C511" s="79">
        <v>1021.683</v>
      </c>
      <c r="D511" s="14" t="s">
        <v>147</v>
      </c>
      <c r="E511" s="5" t="s">
        <v>34</v>
      </c>
      <c r="F511" s="5" t="s">
        <v>36</v>
      </c>
      <c r="G511" s="5" t="s">
        <v>42</v>
      </c>
    </row>
    <row r="512" spans="2:7" ht="18" hidden="1">
      <c r="B512" s="55">
        <v>45956</v>
      </c>
      <c r="C512" s="79">
        <v>-5</v>
      </c>
      <c r="D512" s="14" t="s">
        <v>95</v>
      </c>
      <c r="E512" s="5" t="s">
        <v>118</v>
      </c>
      <c r="F512" s="5" t="s">
        <v>38</v>
      </c>
      <c r="G512" s="5" t="s">
        <v>51</v>
      </c>
    </row>
    <row r="513" spans="2:7" ht="18" hidden="1">
      <c r="B513" s="55">
        <v>45957</v>
      </c>
      <c r="C513" s="79">
        <v>-50</v>
      </c>
      <c r="D513" s="14" t="s">
        <v>95</v>
      </c>
      <c r="E513" s="5" t="s">
        <v>118</v>
      </c>
      <c r="F513" s="5" t="s">
        <v>38</v>
      </c>
      <c r="G513" s="5" t="s">
        <v>51</v>
      </c>
    </row>
    <row r="514" spans="2:7" ht="18" hidden="1">
      <c r="B514" s="55">
        <v>45957</v>
      </c>
      <c r="C514" s="79">
        <v>-16</v>
      </c>
      <c r="D514" s="14" t="s">
        <v>147</v>
      </c>
      <c r="E514" s="5" t="s">
        <v>118</v>
      </c>
      <c r="F514" s="5" t="s">
        <v>53</v>
      </c>
      <c r="G514" s="5" t="s">
        <v>56</v>
      </c>
    </row>
    <row r="515" spans="2:7" ht="18" hidden="1">
      <c r="B515" s="55">
        <v>45958</v>
      </c>
      <c r="C515" s="79">
        <v>-12</v>
      </c>
      <c r="D515" s="14" t="s">
        <v>95</v>
      </c>
      <c r="E515" s="5" t="s">
        <v>118</v>
      </c>
      <c r="F515" s="5" t="s">
        <v>53</v>
      </c>
      <c r="G515" s="5" t="s">
        <v>55</v>
      </c>
    </row>
    <row r="516" spans="2:7" ht="18" hidden="1">
      <c r="B516" s="55">
        <v>45958</v>
      </c>
      <c r="C516" s="79">
        <v>-335.92399999999998</v>
      </c>
      <c r="D516" s="14" t="s">
        <v>147</v>
      </c>
      <c r="E516" s="5" t="s">
        <v>118</v>
      </c>
      <c r="F516" s="5" t="s">
        <v>38</v>
      </c>
      <c r="G516" s="5" t="s">
        <v>48</v>
      </c>
    </row>
    <row r="517" spans="2:7" ht="18" hidden="1">
      <c r="B517" s="55">
        <v>45958</v>
      </c>
      <c r="C517" s="79">
        <v>-23.992000000000001</v>
      </c>
      <c r="D517" s="14" t="s">
        <v>147</v>
      </c>
      <c r="E517" s="5" t="s">
        <v>118</v>
      </c>
      <c r="F517" s="5" t="s">
        <v>53</v>
      </c>
      <c r="G517" s="5" t="s">
        <v>55</v>
      </c>
    </row>
    <row r="518" spans="2:7" ht="18" hidden="1">
      <c r="B518" s="55">
        <v>45959</v>
      </c>
      <c r="C518" s="79">
        <v>-52</v>
      </c>
      <c r="D518" s="14" t="s">
        <v>95</v>
      </c>
      <c r="E518" s="5" t="s">
        <v>118</v>
      </c>
      <c r="F518" s="5" t="s">
        <v>38</v>
      </c>
      <c r="G518" s="5" t="s">
        <v>51</v>
      </c>
    </row>
    <row r="519" spans="2:7" ht="18" hidden="1">
      <c r="B519" s="55">
        <v>45959</v>
      </c>
      <c r="C519" s="79">
        <v>5000</v>
      </c>
      <c r="D519" s="14" t="s">
        <v>147</v>
      </c>
      <c r="E519" s="5" t="s">
        <v>34</v>
      </c>
      <c r="F519" s="5" t="s">
        <v>35</v>
      </c>
      <c r="G519" s="5" t="s">
        <v>39</v>
      </c>
    </row>
    <row r="520" spans="2:7" ht="18" hidden="1">
      <c r="B520" s="55">
        <v>45959</v>
      </c>
      <c r="C520" s="79">
        <v>-62.5</v>
      </c>
      <c r="D520" s="14" t="s">
        <v>147</v>
      </c>
      <c r="E520" s="5" t="s">
        <v>118</v>
      </c>
      <c r="F520" s="5" t="s">
        <v>53</v>
      </c>
      <c r="G520" s="5" t="s">
        <v>56</v>
      </c>
    </row>
    <row r="521" spans="2:7" ht="18" hidden="1">
      <c r="B521" s="55">
        <v>45959</v>
      </c>
      <c r="C521" s="79">
        <v>-62.5</v>
      </c>
      <c r="D521" s="14" t="s">
        <v>147</v>
      </c>
      <c r="E521" s="5" t="s">
        <v>118</v>
      </c>
      <c r="F521" s="5" t="s">
        <v>53</v>
      </c>
      <c r="G521" s="5" t="s">
        <v>55</v>
      </c>
    </row>
    <row r="522" spans="2:7" ht="18" hidden="1">
      <c r="B522" s="55">
        <v>45959</v>
      </c>
      <c r="C522" s="79">
        <v>-1620</v>
      </c>
      <c r="D522" s="14" t="s">
        <v>147</v>
      </c>
      <c r="E522" s="5" t="s">
        <v>118</v>
      </c>
      <c r="F522" s="5" t="s">
        <v>53</v>
      </c>
      <c r="G522" s="5" t="s">
        <v>55</v>
      </c>
    </row>
    <row r="523" spans="2:7" ht="18" hidden="1">
      <c r="B523" s="55">
        <v>45960</v>
      </c>
      <c r="C523" s="79">
        <v>-30</v>
      </c>
      <c r="D523" s="14" t="s">
        <v>147</v>
      </c>
      <c r="E523" s="5" t="s">
        <v>118</v>
      </c>
      <c r="F523" s="5" t="s">
        <v>38</v>
      </c>
      <c r="G523" s="5" t="s">
        <v>50</v>
      </c>
    </row>
    <row r="524" spans="2:7" ht="18" hidden="1">
      <c r="B524" s="55">
        <v>45960</v>
      </c>
      <c r="C524" s="79">
        <v>-89</v>
      </c>
      <c r="D524" s="14" t="s">
        <v>147</v>
      </c>
      <c r="E524" s="5" t="s">
        <v>118</v>
      </c>
      <c r="F524" s="5" t="s">
        <v>53</v>
      </c>
      <c r="G524" s="5" t="s">
        <v>56</v>
      </c>
    </row>
    <row r="525" spans="2:7" ht="18" hidden="1">
      <c r="B525" s="55">
        <v>45960</v>
      </c>
      <c r="C525" s="79">
        <v>-104</v>
      </c>
      <c r="D525" s="14" t="s">
        <v>147</v>
      </c>
      <c r="E525" s="5" t="s">
        <v>118</v>
      </c>
      <c r="F525" s="5" t="s">
        <v>53</v>
      </c>
      <c r="G525" s="5" t="s">
        <v>55</v>
      </c>
    </row>
    <row r="526" spans="2:7" ht="18" hidden="1">
      <c r="B526" s="55">
        <v>45960</v>
      </c>
      <c r="C526" s="79">
        <v>-47.5</v>
      </c>
      <c r="D526" s="14" t="s">
        <v>147</v>
      </c>
      <c r="E526" s="5" t="s">
        <v>118</v>
      </c>
      <c r="F526" s="5" t="s">
        <v>53</v>
      </c>
      <c r="G526" s="5" t="s">
        <v>56</v>
      </c>
    </row>
    <row r="527" spans="2:7" ht="18" hidden="1">
      <c r="B527" s="55">
        <v>45960</v>
      </c>
      <c r="C527" s="79">
        <v>-47.5</v>
      </c>
      <c r="D527" s="14" t="s">
        <v>147</v>
      </c>
      <c r="E527" s="5" t="s">
        <v>118</v>
      </c>
      <c r="F527" s="5" t="s">
        <v>53</v>
      </c>
      <c r="G527" s="5" t="s">
        <v>55</v>
      </c>
    </row>
    <row r="528" spans="2:7" ht="18" hidden="1">
      <c r="B528" s="55">
        <v>45961</v>
      </c>
      <c r="C528" s="79">
        <v>-3</v>
      </c>
      <c r="D528" s="14" t="s">
        <v>95</v>
      </c>
      <c r="E528" s="5" t="s">
        <v>118</v>
      </c>
      <c r="F528" s="5" t="s">
        <v>38</v>
      </c>
      <c r="G528" s="5" t="s">
        <v>51</v>
      </c>
    </row>
    <row r="529" spans="2:7" ht="18" hidden="1">
      <c r="B529" s="55">
        <v>45961</v>
      </c>
      <c r="C529" s="79">
        <v>-5</v>
      </c>
      <c r="D529" s="14" t="s">
        <v>95</v>
      </c>
      <c r="E529" s="5" t="s">
        <v>118</v>
      </c>
      <c r="F529" s="5" t="s">
        <v>53</v>
      </c>
      <c r="G529" s="5" t="s">
        <v>55</v>
      </c>
    </row>
    <row r="530" spans="2:7" ht="18" hidden="1">
      <c r="B530" s="55">
        <v>45961</v>
      </c>
      <c r="C530" s="79">
        <v>150</v>
      </c>
      <c r="D530" s="14" t="s">
        <v>147</v>
      </c>
      <c r="E530" s="5" t="s">
        <v>34</v>
      </c>
      <c r="F530" s="5" t="s">
        <v>35</v>
      </c>
      <c r="G530" s="5" t="s">
        <v>39</v>
      </c>
    </row>
    <row r="531" spans="2:7" ht="18" hidden="1">
      <c r="B531" s="55">
        <v>45961</v>
      </c>
      <c r="C531" s="79">
        <v>-75</v>
      </c>
      <c r="D531" s="14" t="s">
        <v>147</v>
      </c>
      <c r="E531" s="5" t="s">
        <v>118</v>
      </c>
      <c r="F531" s="5" t="s">
        <v>63</v>
      </c>
      <c r="G531" s="5" t="s">
        <v>65</v>
      </c>
    </row>
    <row r="532" spans="2:7" ht="18" hidden="1">
      <c r="B532" s="55">
        <v>45962</v>
      </c>
      <c r="C532" s="79">
        <v>-30</v>
      </c>
      <c r="D532" s="14" t="s">
        <v>147</v>
      </c>
      <c r="E532" s="5" t="s">
        <v>118</v>
      </c>
      <c r="F532" s="5" t="s">
        <v>38</v>
      </c>
      <c r="G532" s="5" t="s">
        <v>50</v>
      </c>
    </row>
    <row r="533" spans="2:7" ht="18" hidden="1">
      <c r="B533" s="55">
        <v>45962</v>
      </c>
      <c r="C533" s="79">
        <v>-30</v>
      </c>
      <c r="D533" s="14" t="s">
        <v>147</v>
      </c>
      <c r="E533" s="5" t="s">
        <v>118</v>
      </c>
      <c r="F533" s="5" t="s">
        <v>53</v>
      </c>
      <c r="G533" s="5" t="s">
        <v>55</v>
      </c>
    </row>
    <row r="534" spans="2:7" ht="18" hidden="1">
      <c r="B534" s="55">
        <v>45962</v>
      </c>
      <c r="C534" s="79">
        <v>-20</v>
      </c>
      <c r="D534" s="14" t="s">
        <v>95</v>
      </c>
      <c r="E534" s="5" t="s">
        <v>118</v>
      </c>
      <c r="F534" s="5" t="s">
        <v>53</v>
      </c>
      <c r="G534" s="5" t="s">
        <v>55</v>
      </c>
    </row>
    <row r="535" spans="2:7" ht="18" hidden="1">
      <c r="B535" s="55">
        <v>45962</v>
      </c>
      <c r="C535" s="79">
        <v>-21</v>
      </c>
      <c r="D535" s="14" t="s">
        <v>95</v>
      </c>
      <c r="E535" s="5" t="s">
        <v>118</v>
      </c>
      <c r="F535" s="5" t="s">
        <v>53</v>
      </c>
      <c r="G535" s="5" t="s">
        <v>56</v>
      </c>
    </row>
    <row r="536" spans="2:7" ht="18" hidden="1">
      <c r="B536" s="55">
        <v>45963</v>
      </c>
      <c r="C536" s="79">
        <v>55</v>
      </c>
      <c r="D536" s="14" t="s">
        <v>147</v>
      </c>
      <c r="E536" s="5" t="s">
        <v>34</v>
      </c>
      <c r="F536" s="5" t="s">
        <v>35</v>
      </c>
      <c r="G536" s="5" t="s">
        <v>41</v>
      </c>
    </row>
    <row r="537" spans="2:7" ht="18" hidden="1">
      <c r="B537" s="55">
        <v>45962</v>
      </c>
      <c r="C537" s="79">
        <v>-30</v>
      </c>
      <c r="D537" s="14" t="s">
        <v>147</v>
      </c>
      <c r="E537" s="5" t="s">
        <v>118</v>
      </c>
      <c r="F537" s="5" t="s">
        <v>53</v>
      </c>
      <c r="G537" s="5" t="s">
        <v>55</v>
      </c>
    </row>
    <row r="538" spans="2:7" ht="18" hidden="1">
      <c r="B538" s="55">
        <v>45962</v>
      </c>
      <c r="C538" s="79">
        <v>-15</v>
      </c>
      <c r="D538" s="14" t="s">
        <v>147</v>
      </c>
      <c r="E538" s="5" t="s">
        <v>118</v>
      </c>
      <c r="F538" s="5" t="s">
        <v>53</v>
      </c>
      <c r="G538" s="5" t="s">
        <v>56</v>
      </c>
    </row>
    <row r="539" spans="2:7" ht="18" hidden="1">
      <c r="B539" s="55">
        <v>45963</v>
      </c>
      <c r="C539" s="79">
        <v>-104.4</v>
      </c>
      <c r="D539" s="14" t="s">
        <v>147</v>
      </c>
      <c r="E539" s="5" t="s">
        <v>118</v>
      </c>
      <c r="F539" s="5" t="s">
        <v>53</v>
      </c>
      <c r="G539" s="5" t="s">
        <v>55</v>
      </c>
    </row>
    <row r="540" spans="2:7" ht="18" hidden="1">
      <c r="B540" s="55">
        <v>45965</v>
      </c>
      <c r="C540" s="79">
        <v>-57</v>
      </c>
      <c r="D540" s="14" t="s">
        <v>147</v>
      </c>
      <c r="E540" s="5" t="s">
        <v>118</v>
      </c>
      <c r="F540" s="5" t="s">
        <v>53</v>
      </c>
      <c r="G540" s="5" t="s">
        <v>56</v>
      </c>
    </row>
    <row r="541" spans="2:7" ht="18" hidden="1">
      <c r="B541" s="55">
        <v>45965</v>
      </c>
      <c r="C541" s="79">
        <v>-72</v>
      </c>
      <c r="D541" s="14" t="s">
        <v>147</v>
      </c>
      <c r="E541" s="5" t="s">
        <v>118</v>
      </c>
      <c r="F541" s="5" t="s">
        <v>53</v>
      </c>
      <c r="G541" s="5" t="s">
        <v>55</v>
      </c>
    </row>
    <row r="542" spans="2:7" ht="18" hidden="1">
      <c r="B542" s="55">
        <v>45965</v>
      </c>
      <c r="C542" s="79">
        <v>-15</v>
      </c>
      <c r="D542" s="14" t="s">
        <v>147</v>
      </c>
      <c r="E542" s="5" t="s">
        <v>118</v>
      </c>
      <c r="F542" s="5" t="s">
        <v>53</v>
      </c>
      <c r="G542" s="5" t="s">
        <v>56</v>
      </c>
    </row>
    <row r="543" spans="2:7" ht="18" hidden="1">
      <c r="B543" s="55">
        <v>45966</v>
      </c>
      <c r="C543" s="79">
        <v>-40</v>
      </c>
      <c r="D543" s="14" t="s">
        <v>95</v>
      </c>
      <c r="E543" s="5" t="s">
        <v>118</v>
      </c>
      <c r="F543" s="5" t="s">
        <v>53</v>
      </c>
      <c r="G543" s="5" t="s">
        <v>55</v>
      </c>
    </row>
    <row r="544" spans="2:7" ht="18" hidden="1">
      <c r="B544" s="55">
        <v>45967</v>
      </c>
      <c r="C544" s="79">
        <v>-20</v>
      </c>
      <c r="D544" s="14" t="s">
        <v>147</v>
      </c>
      <c r="E544" s="5" t="s">
        <v>118</v>
      </c>
      <c r="F544" s="5" t="s">
        <v>38</v>
      </c>
      <c r="G544" s="5" t="s">
        <v>50</v>
      </c>
    </row>
    <row r="545" spans="2:7" ht="18" hidden="1">
      <c r="B545" s="55">
        <v>45967</v>
      </c>
      <c r="C545" s="79">
        <v>-20</v>
      </c>
      <c r="D545" s="14" t="s">
        <v>147</v>
      </c>
      <c r="E545" s="5" t="s">
        <v>118</v>
      </c>
      <c r="F545" s="5" t="s">
        <v>53</v>
      </c>
      <c r="G545" s="5" t="s">
        <v>56</v>
      </c>
    </row>
    <row r="546" spans="2:7" ht="18" hidden="1">
      <c r="B546" s="55">
        <v>45968</v>
      </c>
      <c r="C546" s="79">
        <v>-20</v>
      </c>
      <c r="D546" s="14" t="s">
        <v>147</v>
      </c>
      <c r="E546" s="5" t="s">
        <v>118</v>
      </c>
      <c r="F546" s="5" t="s">
        <v>38</v>
      </c>
      <c r="G546" s="5" t="s">
        <v>50</v>
      </c>
    </row>
    <row r="547" spans="2:7" ht="18" hidden="1">
      <c r="B547" s="55">
        <v>45969</v>
      </c>
      <c r="C547" s="79">
        <v>-20</v>
      </c>
      <c r="D547" s="14" t="s">
        <v>147</v>
      </c>
      <c r="E547" s="5" t="s">
        <v>118</v>
      </c>
      <c r="F547" s="5" t="s">
        <v>38</v>
      </c>
      <c r="G547" s="5" t="s">
        <v>50</v>
      </c>
    </row>
    <row r="548" spans="2:7" ht="18" hidden="1">
      <c r="B548" s="55">
        <v>45969</v>
      </c>
      <c r="C548" s="79">
        <v>-50</v>
      </c>
      <c r="D548" s="14" t="s">
        <v>147</v>
      </c>
      <c r="E548" s="5" t="s">
        <v>118</v>
      </c>
      <c r="F548" s="5" t="s">
        <v>53</v>
      </c>
      <c r="G548" s="5" t="s">
        <v>55</v>
      </c>
    </row>
    <row r="549" spans="2:7" ht="18" hidden="1">
      <c r="B549" s="55">
        <v>45969</v>
      </c>
      <c r="C549" s="79">
        <v>-30</v>
      </c>
      <c r="D549" s="14" t="s">
        <v>147</v>
      </c>
      <c r="E549" s="5" t="s">
        <v>118</v>
      </c>
      <c r="F549" s="5" t="s">
        <v>38</v>
      </c>
      <c r="G549" s="5" t="s">
        <v>50</v>
      </c>
    </row>
    <row r="550" spans="2:7" ht="18" hidden="1">
      <c r="B550" s="55">
        <v>45969</v>
      </c>
      <c r="C550" s="79">
        <v>-30</v>
      </c>
      <c r="D550" s="14" t="s">
        <v>147</v>
      </c>
      <c r="E550" s="5" t="s">
        <v>118</v>
      </c>
      <c r="F550" s="5" t="s">
        <v>53</v>
      </c>
      <c r="G550" s="5" t="s">
        <v>55</v>
      </c>
    </row>
    <row r="551" spans="2:7" ht="18" hidden="1">
      <c r="B551" s="55">
        <v>45969</v>
      </c>
      <c r="C551" s="79">
        <v>-15</v>
      </c>
      <c r="D551" s="14" t="s">
        <v>147</v>
      </c>
      <c r="E551" s="5" t="s">
        <v>118</v>
      </c>
      <c r="F551" s="5" t="s">
        <v>53</v>
      </c>
      <c r="G551" s="5" t="s">
        <v>56</v>
      </c>
    </row>
    <row r="552" spans="2:7" ht="18" hidden="1">
      <c r="B552" s="55">
        <v>45969</v>
      </c>
      <c r="C552" s="79">
        <v>-15</v>
      </c>
      <c r="D552" s="14" t="s">
        <v>147</v>
      </c>
      <c r="E552" s="5" t="s">
        <v>118</v>
      </c>
      <c r="F552" s="5" t="s">
        <v>53</v>
      </c>
      <c r="G552" s="5" t="s">
        <v>55</v>
      </c>
    </row>
    <row r="553" spans="2:7" ht="18" hidden="1">
      <c r="B553" s="55">
        <v>45970</v>
      </c>
      <c r="C553" s="79">
        <v>-52.085999999999999</v>
      </c>
      <c r="D553" s="14" t="s">
        <v>148</v>
      </c>
      <c r="E553" s="5" t="s">
        <v>118</v>
      </c>
      <c r="F553" s="5" t="s">
        <v>53</v>
      </c>
      <c r="G553" s="5" t="s">
        <v>55</v>
      </c>
    </row>
    <row r="554" spans="2:7" ht="18" hidden="1">
      <c r="B554" s="55">
        <v>45970</v>
      </c>
      <c r="C554" s="79">
        <v>-45.9</v>
      </c>
      <c r="D554" s="14" t="s">
        <v>148</v>
      </c>
      <c r="E554" s="5" t="s">
        <v>118</v>
      </c>
      <c r="F554" s="5" t="s">
        <v>38</v>
      </c>
      <c r="G554" s="5" t="s">
        <v>50</v>
      </c>
    </row>
    <row r="555" spans="2:7" ht="18" hidden="1">
      <c r="B555" s="55">
        <v>45972</v>
      </c>
      <c r="C555" s="79">
        <v>2000</v>
      </c>
      <c r="D555" s="14" t="s">
        <v>148</v>
      </c>
      <c r="E555" s="5" t="s">
        <v>34</v>
      </c>
      <c r="F555" s="5" t="s">
        <v>35</v>
      </c>
      <c r="G555" s="5" t="s">
        <v>39</v>
      </c>
    </row>
    <row r="556" spans="2:7" ht="18" hidden="1">
      <c r="B556" s="55">
        <v>45972</v>
      </c>
      <c r="C556" s="79">
        <v>-55</v>
      </c>
      <c r="D556" s="14" t="s">
        <v>148</v>
      </c>
      <c r="E556" s="5" t="s">
        <v>118</v>
      </c>
      <c r="F556" s="5" t="s">
        <v>53</v>
      </c>
      <c r="G556" s="5" t="s">
        <v>55</v>
      </c>
    </row>
    <row r="557" spans="2:7" ht="18" hidden="1">
      <c r="B557" s="55">
        <v>45973</v>
      </c>
      <c r="C557" s="79">
        <v>-64</v>
      </c>
      <c r="D557" s="14" t="s">
        <v>148</v>
      </c>
      <c r="E557" s="5" t="s">
        <v>118</v>
      </c>
      <c r="F557" s="5" t="s">
        <v>53</v>
      </c>
      <c r="G557" s="5" t="s">
        <v>56</v>
      </c>
    </row>
    <row r="558" spans="2:7" ht="18" hidden="1">
      <c r="B558" s="55">
        <v>45973</v>
      </c>
      <c r="C558" s="79">
        <v>-64</v>
      </c>
      <c r="D558" s="14" t="s">
        <v>148</v>
      </c>
      <c r="E558" s="5" t="s">
        <v>118</v>
      </c>
      <c r="F558" s="5" t="s">
        <v>53</v>
      </c>
      <c r="G558" s="5" t="s">
        <v>55</v>
      </c>
    </row>
    <row r="559" spans="2:7" ht="18" hidden="1">
      <c r="B559" s="55">
        <v>45974</v>
      </c>
      <c r="C559" s="79">
        <v>-58.194000000000003</v>
      </c>
      <c r="D559" s="14" t="s">
        <v>148</v>
      </c>
      <c r="E559" s="5" t="s">
        <v>118</v>
      </c>
      <c r="F559" s="5" t="s">
        <v>53</v>
      </c>
      <c r="G559" s="5" t="s">
        <v>55</v>
      </c>
    </row>
    <row r="560" spans="2:7" ht="18" hidden="1">
      <c r="B560" s="55">
        <v>45974</v>
      </c>
      <c r="C560" s="79">
        <v>-30</v>
      </c>
      <c r="D560" s="14" t="s">
        <v>148</v>
      </c>
      <c r="E560" s="5" t="s">
        <v>118</v>
      </c>
      <c r="F560" s="5" t="s">
        <v>38</v>
      </c>
      <c r="G560" s="5" t="s">
        <v>50</v>
      </c>
    </row>
    <row r="561" spans="2:7" ht="18" hidden="1">
      <c r="B561" s="55">
        <v>45974</v>
      </c>
      <c r="C561" s="79">
        <v>-64</v>
      </c>
      <c r="D561" s="14" t="s">
        <v>148</v>
      </c>
      <c r="E561" s="5" t="s">
        <v>118</v>
      </c>
      <c r="F561" s="5" t="s">
        <v>53</v>
      </c>
      <c r="G561" s="5" t="s">
        <v>55</v>
      </c>
    </row>
    <row r="562" spans="2:7" ht="18" hidden="1">
      <c r="B562" s="55">
        <v>45974</v>
      </c>
      <c r="C562" s="79">
        <v>-20</v>
      </c>
      <c r="D562" s="14" t="s">
        <v>148</v>
      </c>
      <c r="E562" s="5" t="s">
        <v>118</v>
      </c>
      <c r="F562" s="5" t="s">
        <v>53</v>
      </c>
      <c r="G562" s="5" t="s">
        <v>55</v>
      </c>
    </row>
    <row r="563" spans="2:7" ht="18" hidden="1">
      <c r="B563" s="55">
        <v>45975</v>
      </c>
      <c r="C563" s="79">
        <v>-20</v>
      </c>
      <c r="D563" s="14" t="s">
        <v>147</v>
      </c>
      <c r="E563" s="5" t="s">
        <v>118</v>
      </c>
      <c r="F563" s="5" t="s">
        <v>38</v>
      </c>
      <c r="G563" s="5" t="s">
        <v>50</v>
      </c>
    </row>
    <row r="564" spans="2:7" ht="18" hidden="1">
      <c r="B564" s="55">
        <v>45976</v>
      </c>
      <c r="C564" s="79">
        <v>-174</v>
      </c>
      <c r="D564" s="14" t="s">
        <v>147</v>
      </c>
      <c r="E564" s="5" t="s">
        <v>118</v>
      </c>
      <c r="F564" s="5" t="s">
        <v>53</v>
      </c>
      <c r="G564" s="5" t="s">
        <v>56</v>
      </c>
    </row>
    <row r="565" spans="2:7" ht="18" hidden="1">
      <c r="B565" s="55">
        <v>45976</v>
      </c>
      <c r="C565" s="79">
        <v>-54</v>
      </c>
      <c r="D565" s="14" t="s">
        <v>147</v>
      </c>
      <c r="E565" s="5" t="s">
        <v>118</v>
      </c>
      <c r="F565" s="5" t="s">
        <v>53</v>
      </c>
      <c r="G565" s="5" t="s">
        <v>56</v>
      </c>
    </row>
    <row r="566" spans="2:7" ht="18" hidden="1">
      <c r="B566" s="55">
        <v>45976</v>
      </c>
      <c r="C566" s="79">
        <v>-54</v>
      </c>
      <c r="D566" s="14" t="s">
        <v>147</v>
      </c>
      <c r="E566" s="5" t="s">
        <v>118</v>
      </c>
      <c r="F566" s="5" t="s">
        <v>53</v>
      </c>
      <c r="G566" s="5" t="s">
        <v>56</v>
      </c>
    </row>
    <row r="567" spans="2:7" ht="18" hidden="1">
      <c r="B567" s="55">
        <v>45976</v>
      </c>
      <c r="C567" s="79">
        <v>-57.225999999999999</v>
      </c>
      <c r="D567" s="14" t="s">
        <v>147</v>
      </c>
      <c r="E567" s="5" t="s">
        <v>118</v>
      </c>
      <c r="F567" s="5" t="s">
        <v>53</v>
      </c>
      <c r="G567" s="5" t="s">
        <v>55</v>
      </c>
    </row>
    <row r="568" spans="2:7" ht="18" hidden="1">
      <c r="B568" s="55">
        <v>45977</v>
      </c>
      <c r="C568" s="79">
        <v>-15</v>
      </c>
      <c r="D568" s="14" t="s">
        <v>147</v>
      </c>
      <c r="E568" s="5" t="s">
        <v>118</v>
      </c>
      <c r="F568" s="5" t="s">
        <v>53</v>
      </c>
      <c r="G568" s="5" t="s">
        <v>55</v>
      </c>
    </row>
    <row r="569" spans="2:7" ht="18" hidden="1">
      <c r="B569" s="55">
        <v>45977</v>
      </c>
      <c r="C569" s="79">
        <v>6.4000000000000001E-2</v>
      </c>
      <c r="D569" s="14" t="s">
        <v>147</v>
      </c>
      <c r="E569" s="5" t="s">
        <v>34</v>
      </c>
      <c r="F569" s="5" t="s">
        <v>36</v>
      </c>
      <c r="G569" s="5" t="s">
        <v>42</v>
      </c>
    </row>
    <row r="570" spans="2:7" ht="18" hidden="1">
      <c r="B570" s="55">
        <v>45977</v>
      </c>
      <c r="C570" s="79">
        <v>-50</v>
      </c>
      <c r="D570" s="14" t="s">
        <v>147</v>
      </c>
      <c r="E570" s="5" t="s">
        <v>118</v>
      </c>
      <c r="F570" s="5" t="s">
        <v>53</v>
      </c>
      <c r="G570" s="5" t="s">
        <v>56</v>
      </c>
    </row>
    <row r="571" spans="2:7" ht="18" hidden="1">
      <c r="B571" s="55">
        <v>45977</v>
      </c>
      <c r="C571" s="79">
        <v>-15</v>
      </c>
      <c r="D571" s="14" t="s">
        <v>147</v>
      </c>
      <c r="E571" s="5" t="s">
        <v>118</v>
      </c>
      <c r="F571" s="5" t="s">
        <v>53</v>
      </c>
      <c r="G571" s="5" t="s">
        <v>55</v>
      </c>
    </row>
    <row r="572" spans="2:7" ht="18" hidden="1">
      <c r="B572" s="55">
        <v>45977</v>
      </c>
      <c r="C572" s="79">
        <v>-402.51199999999989</v>
      </c>
      <c r="D572" s="14" t="s">
        <v>147</v>
      </c>
      <c r="E572" s="5" t="s">
        <v>118</v>
      </c>
      <c r="F572" s="5" t="s">
        <v>38</v>
      </c>
      <c r="G572" s="5" t="s">
        <v>48</v>
      </c>
    </row>
    <row r="573" spans="2:7" ht="18" hidden="1">
      <c r="B573" s="55">
        <v>45977</v>
      </c>
      <c r="C573" s="79">
        <v>-81</v>
      </c>
      <c r="D573" s="14" t="s">
        <v>147</v>
      </c>
      <c r="E573" s="5" t="s">
        <v>118</v>
      </c>
      <c r="F573" s="5" t="s">
        <v>53</v>
      </c>
      <c r="G573" s="5" t="s">
        <v>56</v>
      </c>
    </row>
    <row r="574" spans="2:7" ht="18" hidden="1">
      <c r="B574" s="55">
        <v>45977</v>
      </c>
      <c r="C574" s="79">
        <v>-5</v>
      </c>
      <c r="D574" s="14" t="s">
        <v>95</v>
      </c>
      <c r="E574" s="5" t="s">
        <v>118</v>
      </c>
      <c r="F574" s="5" t="s">
        <v>38</v>
      </c>
      <c r="G574" s="5" t="s">
        <v>51</v>
      </c>
    </row>
    <row r="575" spans="2:7" ht="18" hidden="1">
      <c r="B575" s="55">
        <v>45977</v>
      </c>
      <c r="C575" s="79">
        <v>-1400</v>
      </c>
      <c r="D575" s="14" t="s">
        <v>148</v>
      </c>
      <c r="E575" s="5" t="s">
        <v>118</v>
      </c>
      <c r="F575" s="5" t="s">
        <v>53</v>
      </c>
      <c r="G575" s="5" t="s">
        <v>56</v>
      </c>
    </row>
    <row r="576" spans="2:7" ht="18" hidden="1">
      <c r="B576" s="55">
        <v>45979</v>
      </c>
      <c r="C576" s="79">
        <v>-50.067</v>
      </c>
      <c r="D576" s="14" t="s">
        <v>147</v>
      </c>
      <c r="E576" s="5" t="s">
        <v>118</v>
      </c>
      <c r="F576" s="5" t="s">
        <v>53</v>
      </c>
      <c r="G576" s="5" t="s">
        <v>55</v>
      </c>
    </row>
    <row r="577" spans="2:7" ht="18" hidden="1">
      <c r="B577" s="55">
        <v>45979</v>
      </c>
      <c r="C577" s="79">
        <v>-20</v>
      </c>
      <c r="D577" s="14" t="s">
        <v>147</v>
      </c>
      <c r="E577" s="5" t="s">
        <v>118</v>
      </c>
      <c r="F577" s="5" t="s">
        <v>38</v>
      </c>
      <c r="G577" s="5" t="s">
        <v>50</v>
      </c>
    </row>
    <row r="578" spans="2:7" ht="18" hidden="1">
      <c r="B578" s="55">
        <v>45979</v>
      </c>
      <c r="C578" s="79">
        <v>200</v>
      </c>
      <c r="D578" s="14" t="s">
        <v>95</v>
      </c>
      <c r="E578" s="5" t="s">
        <v>34</v>
      </c>
      <c r="F578" s="5" t="s">
        <v>35</v>
      </c>
      <c r="G578" s="5" t="s">
        <v>39</v>
      </c>
    </row>
    <row r="579" spans="2:7" ht="18" hidden="1">
      <c r="B579" s="55">
        <v>45981</v>
      </c>
      <c r="C579" s="79">
        <v>-400</v>
      </c>
      <c r="D579" s="14" t="s">
        <v>147</v>
      </c>
      <c r="E579" s="5" t="s">
        <v>118</v>
      </c>
      <c r="F579" s="5" t="s">
        <v>63</v>
      </c>
      <c r="G579" s="5" t="s">
        <v>65</v>
      </c>
    </row>
    <row r="580" spans="2:7" ht="18" hidden="1">
      <c r="B580" s="55">
        <v>45981</v>
      </c>
      <c r="C580" s="79">
        <v>-19</v>
      </c>
      <c r="D580" s="14" t="s">
        <v>147</v>
      </c>
      <c r="E580" s="5" t="s">
        <v>118</v>
      </c>
      <c r="F580" s="5" t="s">
        <v>53</v>
      </c>
      <c r="G580" s="5" t="s">
        <v>56</v>
      </c>
    </row>
    <row r="581" spans="2:7" ht="18" hidden="1">
      <c r="B581" s="55">
        <v>45981</v>
      </c>
      <c r="C581" s="79">
        <v>-19</v>
      </c>
      <c r="D581" s="14" t="s">
        <v>147</v>
      </c>
      <c r="E581" s="5" t="s">
        <v>118</v>
      </c>
      <c r="F581" s="5" t="s">
        <v>53</v>
      </c>
      <c r="G581" s="5" t="s">
        <v>55</v>
      </c>
    </row>
    <row r="582" spans="2:7" ht="18" hidden="1">
      <c r="B582" s="55">
        <v>45982</v>
      </c>
      <c r="C582" s="79">
        <v>-20</v>
      </c>
      <c r="D582" s="14" t="s">
        <v>147</v>
      </c>
      <c r="E582" s="5" t="s">
        <v>118</v>
      </c>
      <c r="F582" s="5" t="s">
        <v>38</v>
      </c>
      <c r="G582" s="5" t="s">
        <v>50</v>
      </c>
    </row>
    <row r="583" spans="2:7" ht="18" hidden="1">
      <c r="B583" s="55">
        <v>45982</v>
      </c>
      <c r="C583" s="79">
        <v>-79.900000000000006</v>
      </c>
      <c r="D583" s="14" t="s">
        <v>147</v>
      </c>
      <c r="E583" s="5" t="s">
        <v>118</v>
      </c>
      <c r="F583" s="5" t="s">
        <v>38</v>
      </c>
      <c r="G583" s="5" t="s">
        <v>48</v>
      </c>
    </row>
    <row r="584" spans="2:7" ht="18" hidden="1">
      <c r="B584" s="55">
        <v>45982</v>
      </c>
      <c r="C584" s="79">
        <v>-3</v>
      </c>
      <c r="D584" s="14" t="s">
        <v>95</v>
      </c>
      <c r="E584" s="5" t="s">
        <v>118</v>
      </c>
      <c r="F584" s="5" t="s">
        <v>38</v>
      </c>
      <c r="G584" s="5" t="s">
        <v>51</v>
      </c>
    </row>
    <row r="585" spans="2:7" ht="18" hidden="1">
      <c r="B585" s="55">
        <v>45982</v>
      </c>
      <c r="C585" s="79">
        <v>-3</v>
      </c>
      <c r="D585" s="14" t="s">
        <v>95</v>
      </c>
      <c r="E585" s="5" t="s">
        <v>118</v>
      </c>
      <c r="F585" s="5" t="s">
        <v>53</v>
      </c>
      <c r="G585" s="5" t="s">
        <v>55</v>
      </c>
    </row>
    <row r="586" spans="2:7" ht="18" hidden="1">
      <c r="B586" s="55">
        <v>45982</v>
      </c>
      <c r="C586" s="79">
        <v>-50.118000000000002</v>
      </c>
      <c r="D586" s="14" t="s">
        <v>147</v>
      </c>
      <c r="E586" s="5" t="s">
        <v>118</v>
      </c>
      <c r="F586" s="5" t="s">
        <v>53</v>
      </c>
      <c r="G586" s="5" t="s">
        <v>55</v>
      </c>
    </row>
    <row r="587" spans="2:7" ht="18" hidden="1">
      <c r="B587" s="55">
        <v>45983</v>
      </c>
      <c r="C587" s="79">
        <v>-20</v>
      </c>
      <c r="D587" s="14" t="s">
        <v>147</v>
      </c>
      <c r="E587" s="5" t="s">
        <v>118</v>
      </c>
      <c r="F587" s="5" t="s">
        <v>38</v>
      </c>
      <c r="G587" s="5" t="s">
        <v>50</v>
      </c>
    </row>
    <row r="588" spans="2:7" ht="18" hidden="1">
      <c r="B588" s="55">
        <v>45983</v>
      </c>
      <c r="C588" s="79">
        <v>-35</v>
      </c>
      <c r="D588" s="14" t="s">
        <v>148</v>
      </c>
      <c r="E588" s="5" t="s">
        <v>118</v>
      </c>
      <c r="F588" s="5" t="s">
        <v>38</v>
      </c>
      <c r="G588" s="5" t="s">
        <v>50</v>
      </c>
    </row>
    <row r="589" spans="2:7" ht="18" hidden="1">
      <c r="B589" s="55">
        <v>45983</v>
      </c>
      <c r="C589" s="79">
        <v>-50</v>
      </c>
      <c r="D589" s="14" t="s">
        <v>147</v>
      </c>
      <c r="E589" s="5" t="s">
        <v>118</v>
      </c>
      <c r="F589" s="5" t="s">
        <v>53</v>
      </c>
      <c r="G589" s="5" t="s">
        <v>55</v>
      </c>
    </row>
    <row r="590" spans="2:7" ht="18" hidden="1">
      <c r="B590" s="55">
        <v>45983</v>
      </c>
      <c r="C590" s="79">
        <v>-30</v>
      </c>
      <c r="D590" s="14" t="s">
        <v>147</v>
      </c>
      <c r="E590" s="5" t="s">
        <v>118</v>
      </c>
      <c r="F590" s="5" t="s">
        <v>63</v>
      </c>
      <c r="G590" s="5" t="s">
        <v>65</v>
      </c>
    </row>
    <row r="591" spans="2:7" ht="18" hidden="1">
      <c r="B591" s="55">
        <v>45984</v>
      </c>
      <c r="C591" s="79">
        <v>435</v>
      </c>
      <c r="D591" s="14" t="s">
        <v>147</v>
      </c>
      <c r="E591" s="5" t="s">
        <v>34</v>
      </c>
      <c r="F591" s="5" t="s">
        <v>36</v>
      </c>
      <c r="G591" s="5" t="s">
        <v>42</v>
      </c>
    </row>
    <row r="592" spans="2:7" ht="18" hidden="1">
      <c r="B592" s="55">
        <v>45984</v>
      </c>
      <c r="C592" s="79">
        <v>65</v>
      </c>
      <c r="D592" s="14" t="s">
        <v>147</v>
      </c>
      <c r="E592" s="5" t="s">
        <v>34</v>
      </c>
      <c r="F592" s="5" t="s">
        <v>35</v>
      </c>
      <c r="G592" s="5" t="s">
        <v>41</v>
      </c>
    </row>
    <row r="593" spans="2:7" ht="18" hidden="1">
      <c r="B593" s="55">
        <v>45984</v>
      </c>
      <c r="C593" s="79">
        <v>-21</v>
      </c>
      <c r="D593" s="14" t="s">
        <v>147</v>
      </c>
      <c r="E593" s="5" t="s">
        <v>118</v>
      </c>
      <c r="F593" s="5" t="s">
        <v>53</v>
      </c>
      <c r="G593" s="5" t="s">
        <v>55</v>
      </c>
    </row>
    <row r="594" spans="2:7" ht="18" hidden="1">
      <c r="B594" s="55">
        <v>45984</v>
      </c>
      <c r="C594" s="79">
        <v>-55</v>
      </c>
      <c r="D594" s="14" t="s">
        <v>147</v>
      </c>
      <c r="E594" s="5" t="s">
        <v>118</v>
      </c>
      <c r="F594" s="5" t="s">
        <v>53</v>
      </c>
      <c r="G594" s="5" t="s">
        <v>55</v>
      </c>
    </row>
    <row r="595" spans="2:7" ht="18" hidden="1">
      <c r="B595" s="55">
        <v>45985</v>
      </c>
      <c r="C595" s="79">
        <v>-25</v>
      </c>
      <c r="D595" s="14" t="s">
        <v>147</v>
      </c>
      <c r="E595" s="5" t="s">
        <v>118</v>
      </c>
      <c r="F595" s="5" t="s">
        <v>53</v>
      </c>
      <c r="G595" s="5" t="s">
        <v>55</v>
      </c>
    </row>
    <row r="596" spans="2:7" ht="18" hidden="1">
      <c r="B596" s="55">
        <v>45985</v>
      </c>
      <c r="C596" s="79">
        <v>-31</v>
      </c>
      <c r="D596" s="14" t="s">
        <v>147</v>
      </c>
      <c r="E596" s="5" t="s">
        <v>118</v>
      </c>
      <c r="F596" s="5" t="s">
        <v>38</v>
      </c>
      <c r="G596" s="5" t="s">
        <v>50</v>
      </c>
    </row>
    <row r="597" spans="2:7" ht="18" hidden="1">
      <c r="B597" s="55">
        <v>45985</v>
      </c>
      <c r="C597" s="79">
        <v>-235</v>
      </c>
      <c r="D597" s="14" t="s">
        <v>147</v>
      </c>
      <c r="E597" s="5" t="s">
        <v>118</v>
      </c>
      <c r="F597" s="5" t="s">
        <v>53</v>
      </c>
      <c r="G597" s="5" t="s">
        <v>56</v>
      </c>
    </row>
    <row r="598" spans="2:7" ht="18" hidden="1">
      <c r="B598" s="55">
        <v>45986</v>
      </c>
      <c r="C598" s="79">
        <v>-75</v>
      </c>
      <c r="D598" s="14" t="s">
        <v>147</v>
      </c>
      <c r="E598" s="5" t="s">
        <v>118</v>
      </c>
      <c r="F598" s="5" t="s">
        <v>53</v>
      </c>
      <c r="G598" s="5" t="s">
        <v>55</v>
      </c>
    </row>
    <row r="599" spans="2:7" ht="18" hidden="1">
      <c r="B599" s="55">
        <v>45987</v>
      </c>
      <c r="C599" s="79">
        <v>-40</v>
      </c>
      <c r="D599" s="14" t="s">
        <v>147</v>
      </c>
      <c r="E599" s="5" t="s">
        <v>118</v>
      </c>
      <c r="F599" s="5" t="s">
        <v>53</v>
      </c>
      <c r="G599" s="5" t="s">
        <v>56</v>
      </c>
    </row>
    <row r="600" spans="2:7" ht="18" hidden="1">
      <c r="B600" s="55">
        <v>45987</v>
      </c>
      <c r="C600" s="79">
        <v>-40</v>
      </c>
      <c r="D600" s="14" t="s">
        <v>147</v>
      </c>
      <c r="E600" s="5" t="s">
        <v>118</v>
      </c>
      <c r="F600" s="5" t="s">
        <v>53</v>
      </c>
      <c r="G600" s="5" t="s">
        <v>56</v>
      </c>
    </row>
    <row r="601" spans="2:7" ht="18" hidden="1">
      <c r="B601" s="55">
        <v>45988</v>
      </c>
      <c r="C601" s="79">
        <v>-48</v>
      </c>
      <c r="D601" s="14" t="s">
        <v>147</v>
      </c>
      <c r="E601" s="5" t="s">
        <v>118</v>
      </c>
      <c r="F601" s="5" t="s">
        <v>53</v>
      </c>
      <c r="G601" s="5" t="s">
        <v>55</v>
      </c>
    </row>
    <row r="602" spans="2:7" ht="18" hidden="1">
      <c r="B602" s="55">
        <v>45989</v>
      </c>
      <c r="C602" s="79">
        <v>-20</v>
      </c>
      <c r="D602" s="14" t="s">
        <v>148</v>
      </c>
      <c r="E602" s="5" t="s">
        <v>118</v>
      </c>
      <c r="F602" s="5" t="s">
        <v>38</v>
      </c>
      <c r="G602" s="5" t="s">
        <v>50</v>
      </c>
    </row>
    <row r="603" spans="2:7" ht="18" hidden="1">
      <c r="B603" s="55">
        <v>45990</v>
      </c>
      <c r="C603" s="79">
        <v>-220</v>
      </c>
      <c r="D603" s="14" t="s">
        <v>148</v>
      </c>
      <c r="E603" s="5" t="s">
        <v>118</v>
      </c>
      <c r="F603" s="5" t="s">
        <v>53</v>
      </c>
      <c r="G603" s="5" t="s">
        <v>56</v>
      </c>
    </row>
    <row r="604" spans="2:7" ht="18" hidden="1">
      <c r="B604" s="55">
        <v>45990</v>
      </c>
      <c r="C604" s="79">
        <v>-82.501000000000005</v>
      </c>
      <c r="D604" s="14" t="s">
        <v>148</v>
      </c>
      <c r="E604" s="5" t="s">
        <v>118</v>
      </c>
      <c r="F604" s="5" t="s">
        <v>53</v>
      </c>
      <c r="G604" s="5" t="s">
        <v>55</v>
      </c>
    </row>
    <row r="605" spans="2:7" ht="18" hidden="1">
      <c r="B605" s="55">
        <v>45990</v>
      </c>
      <c r="C605" s="79">
        <v>-50</v>
      </c>
      <c r="D605" s="14" t="s">
        <v>95</v>
      </c>
      <c r="E605" s="5" t="s">
        <v>118</v>
      </c>
      <c r="F605" s="5" t="s">
        <v>53</v>
      </c>
      <c r="G605" s="5" t="s">
        <v>55</v>
      </c>
    </row>
    <row r="606" spans="2:7" ht="18" hidden="1">
      <c r="B606" s="55">
        <v>45990</v>
      </c>
      <c r="C606" s="79">
        <v>-7</v>
      </c>
      <c r="D606" s="14" t="s">
        <v>95</v>
      </c>
      <c r="E606" s="5" t="s">
        <v>118</v>
      </c>
      <c r="F606" s="5" t="s">
        <v>53</v>
      </c>
      <c r="G606" s="5" t="s">
        <v>55</v>
      </c>
    </row>
    <row r="607" spans="2:7" ht="18" hidden="1">
      <c r="B607" s="55">
        <v>45990</v>
      </c>
      <c r="C607" s="79">
        <v>-15</v>
      </c>
      <c r="D607" s="14" t="s">
        <v>95</v>
      </c>
      <c r="E607" s="5" t="s">
        <v>118</v>
      </c>
      <c r="F607" s="5" t="s">
        <v>53</v>
      </c>
      <c r="G607" s="5" t="s">
        <v>55</v>
      </c>
    </row>
    <row r="608" spans="2:7" ht="18" hidden="1">
      <c r="B608" s="55">
        <v>45991</v>
      </c>
      <c r="C608" s="79">
        <v>-15</v>
      </c>
      <c r="D608" s="14" t="s">
        <v>148</v>
      </c>
      <c r="E608" s="5" t="s">
        <v>118</v>
      </c>
      <c r="F608" s="5" t="s">
        <v>53</v>
      </c>
      <c r="G608" s="5" t="s">
        <v>56</v>
      </c>
    </row>
    <row r="609" spans="2:7" ht="18" hidden="1">
      <c r="B609" s="55">
        <v>45991</v>
      </c>
      <c r="C609" s="79">
        <v>50</v>
      </c>
      <c r="D609" s="14" t="s">
        <v>147</v>
      </c>
      <c r="E609" s="5" t="s">
        <v>34</v>
      </c>
      <c r="F609" s="5" t="s">
        <v>36</v>
      </c>
      <c r="G609" s="5" t="s">
        <v>42</v>
      </c>
    </row>
    <row r="610" spans="2:7" ht="18" hidden="1">
      <c r="B610" s="55">
        <v>45991</v>
      </c>
      <c r="C610" s="79">
        <v>-25</v>
      </c>
      <c r="D610" s="14" t="s">
        <v>147</v>
      </c>
      <c r="E610" s="5" t="s">
        <v>118</v>
      </c>
      <c r="F610" s="5" t="s">
        <v>53</v>
      </c>
      <c r="G610" s="5" t="s">
        <v>55</v>
      </c>
    </row>
    <row r="611" spans="2:7" ht="18" hidden="1">
      <c r="B611" s="55">
        <v>45991</v>
      </c>
      <c r="C611" s="79">
        <v>-25</v>
      </c>
      <c r="D611" s="14" t="s">
        <v>147</v>
      </c>
      <c r="E611" s="5" t="s">
        <v>118</v>
      </c>
      <c r="F611" s="5" t="s">
        <v>53</v>
      </c>
      <c r="G611" s="5" t="s">
        <v>56</v>
      </c>
    </row>
    <row r="612" spans="2:7" ht="18" hidden="1">
      <c r="B612" s="55">
        <v>45992</v>
      </c>
      <c r="C612" s="79">
        <v>-20</v>
      </c>
      <c r="D612" s="14" t="s">
        <v>148</v>
      </c>
      <c r="E612" s="5" t="s">
        <v>118</v>
      </c>
      <c r="F612" s="5" t="s">
        <v>53</v>
      </c>
      <c r="G612" s="5" t="s">
        <v>56</v>
      </c>
    </row>
    <row r="613" spans="2:7" ht="18" hidden="1">
      <c r="B613" s="55">
        <v>45992</v>
      </c>
      <c r="C613" s="79">
        <v>-30</v>
      </c>
      <c r="D613" s="14" t="s">
        <v>95</v>
      </c>
      <c r="E613" s="5" t="s">
        <v>118</v>
      </c>
      <c r="F613" s="5" t="s">
        <v>53</v>
      </c>
      <c r="G613" s="5" t="s">
        <v>56</v>
      </c>
    </row>
    <row r="614" spans="2:7" ht="18" hidden="1">
      <c r="B614" s="55">
        <v>45992</v>
      </c>
      <c r="C614" s="79">
        <v>-42</v>
      </c>
      <c r="D614" s="14" t="s">
        <v>148</v>
      </c>
      <c r="E614" s="5" t="s">
        <v>118</v>
      </c>
      <c r="F614" s="5" t="s">
        <v>53</v>
      </c>
      <c r="G614" s="5" t="s">
        <v>56</v>
      </c>
    </row>
    <row r="615" spans="2:7" ht="18" hidden="1">
      <c r="B615" s="55">
        <v>45993</v>
      </c>
      <c r="C615" s="79">
        <v>-50</v>
      </c>
      <c r="D615" s="14" t="s">
        <v>147</v>
      </c>
      <c r="E615" s="5" t="s">
        <v>118</v>
      </c>
      <c r="F615" s="5" t="s">
        <v>53</v>
      </c>
      <c r="G615" s="5" t="s">
        <v>55</v>
      </c>
    </row>
    <row r="616" spans="2:7" ht="18" hidden="1">
      <c r="B616" s="55">
        <v>45994</v>
      </c>
      <c r="C616" s="79">
        <v>-21</v>
      </c>
      <c r="D616" s="14" t="s">
        <v>148</v>
      </c>
      <c r="E616" s="5" t="s">
        <v>118</v>
      </c>
      <c r="F616" s="5" t="s">
        <v>53</v>
      </c>
      <c r="G616" s="5" t="s">
        <v>56</v>
      </c>
    </row>
    <row r="617" spans="2:7" ht="18" hidden="1">
      <c r="B617" s="55">
        <v>45995</v>
      </c>
      <c r="C617" s="79">
        <v>3000</v>
      </c>
      <c r="D617" s="14" t="s">
        <v>147</v>
      </c>
      <c r="E617" s="5" t="s">
        <v>34</v>
      </c>
      <c r="F617" s="5" t="s">
        <v>35</v>
      </c>
      <c r="G617" s="5" t="s">
        <v>39</v>
      </c>
    </row>
    <row r="618" spans="2:7" ht="18" hidden="1">
      <c r="B618" s="55">
        <v>45995</v>
      </c>
      <c r="C618" s="79">
        <v>-35</v>
      </c>
      <c r="D618" s="14" t="s">
        <v>147</v>
      </c>
      <c r="E618" s="5" t="s">
        <v>118</v>
      </c>
      <c r="F618" s="5" t="s">
        <v>53</v>
      </c>
      <c r="G618" s="5" t="s">
        <v>56</v>
      </c>
    </row>
    <row r="619" spans="2:7" ht="18" hidden="1">
      <c r="B619" s="55">
        <v>45995</v>
      </c>
      <c r="C619" s="79">
        <v>-50</v>
      </c>
      <c r="D619" s="14" t="s">
        <v>147</v>
      </c>
      <c r="E619" s="5" t="s">
        <v>118</v>
      </c>
      <c r="F619" s="5" t="s">
        <v>53</v>
      </c>
      <c r="G619" s="5" t="s">
        <v>55</v>
      </c>
    </row>
    <row r="620" spans="2:7" ht="18" hidden="1">
      <c r="B620" s="55">
        <v>45996</v>
      </c>
      <c r="C620" s="79">
        <v>-50</v>
      </c>
      <c r="D620" s="14" t="s">
        <v>147</v>
      </c>
      <c r="E620" s="5" t="s">
        <v>118</v>
      </c>
      <c r="F620" s="5" t="s">
        <v>53</v>
      </c>
      <c r="G620" s="5" t="s">
        <v>55</v>
      </c>
    </row>
    <row r="621" spans="2:7" ht="18" hidden="1">
      <c r="B621" s="55">
        <v>45996</v>
      </c>
      <c r="C621" s="79">
        <v>-100</v>
      </c>
      <c r="D621" s="14" t="s">
        <v>147</v>
      </c>
      <c r="E621" s="5" t="s">
        <v>118</v>
      </c>
      <c r="F621" s="5" t="s">
        <v>63</v>
      </c>
      <c r="G621" s="5" t="s">
        <v>65</v>
      </c>
    </row>
    <row r="622" spans="2:7" ht="18" hidden="1">
      <c r="B622" s="55">
        <v>45996</v>
      </c>
      <c r="C622" s="79">
        <v>-10</v>
      </c>
      <c r="D622" s="14" t="s">
        <v>95</v>
      </c>
      <c r="E622" s="5" t="s">
        <v>118</v>
      </c>
      <c r="F622" s="5" t="s">
        <v>38</v>
      </c>
      <c r="G622" s="5" t="s">
        <v>51</v>
      </c>
    </row>
    <row r="623" spans="2:7" ht="18" hidden="1">
      <c r="B623" s="55">
        <v>45996</v>
      </c>
      <c r="C623" s="79">
        <v>-10</v>
      </c>
      <c r="D623" s="14" t="s">
        <v>95</v>
      </c>
      <c r="E623" s="5" t="s">
        <v>118</v>
      </c>
      <c r="F623" s="5" t="s">
        <v>53</v>
      </c>
      <c r="G623" s="5" t="s">
        <v>55</v>
      </c>
    </row>
    <row r="624" spans="2:7" ht="18" hidden="1">
      <c r="B624" s="55">
        <v>45996</v>
      </c>
      <c r="C624" s="79">
        <v>-22</v>
      </c>
      <c r="D624" s="14" t="s">
        <v>147</v>
      </c>
      <c r="E624" s="5" t="s">
        <v>118</v>
      </c>
      <c r="F624" s="5" t="s">
        <v>53</v>
      </c>
      <c r="G624" s="5" t="s">
        <v>55</v>
      </c>
    </row>
    <row r="625" spans="2:7" ht="18" hidden="1">
      <c r="B625" s="55">
        <v>45997</v>
      </c>
      <c r="C625" s="79">
        <v>-68</v>
      </c>
      <c r="D625" s="14" t="s">
        <v>147</v>
      </c>
      <c r="E625" s="5" t="s">
        <v>118</v>
      </c>
      <c r="F625" s="5" t="s">
        <v>63</v>
      </c>
      <c r="G625" s="5" t="s">
        <v>65</v>
      </c>
    </row>
    <row r="626" spans="2:7" ht="18" hidden="1">
      <c r="B626" s="55">
        <v>45997</v>
      </c>
      <c r="C626" s="79">
        <v>-50</v>
      </c>
      <c r="D626" s="14" t="s">
        <v>147</v>
      </c>
      <c r="E626" s="5" t="s">
        <v>118</v>
      </c>
      <c r="F626" s="5" t="s">
        <v>53</v>
      </c>
      <c r="G626" s="5" t="s">
        <v>55</v>
      </c>
    </row>
    <row r="627" spans="2:7" ht="18" hidden="1">
      <c r="B627" s="55">
        <v>45998</v>
      </c>
      <c r="C627" s="79">
        <v>-38.981000000000002</v>
      </c>
      <c r="D627" s="14" t="s">
        <v>147</v>
      </c>
      <c r="E627" s="5" t="s">
        <v>118</v>
      </c>
      <c r="F627" s="5" t="s">
        <v>53</v>
      </c>
      <c r="G627" s="5" t="s">
        <v>56</v>
      </c>
    </row>
    <row r="628" spans="2:7" ht="18" hidden="1">
      <c r="B628" s="55">
        <v>45998</v>
      </c>
      <c r="C628" s="79">
        <v>-30</v>
      </c>
      <c r="D628" s="14" t="s">
        <v>147</v>
      </c>
      <c r="E628" s="5" t="s">
        <v>118</v>
      </c>
      <c r="F628" s="5" t="s">
        <v>38</v>
      </c>
      <c r="G628" s="5" t="s">
        <v>51</v>
      </c>
    </row>
    <row r="629" spans="2:7" ht="18" hidden="1">
      <c r="B629" s="55">
        <v>45999</v>
      </c>
      <c r="C629" s="79">
        <v>130</v>
      </c>
      <c r="D629" s="14" t="s">
        <v>147</v>
      </c>
      <c r="E629" s="5" t="s">
        <v>34</v>
      </c>
      <c r="F629" s="5" t="s">
        <v>35</v>
      </c>
      <c r="G629" s="5" t="s">
        <v>41</v>
      </c>
    </row>
    <row r="630" spans="2:7" ht="18" hidden="1">
      <c r="B630" s="55">
        <v>45999</v>
      </c>
      <c r="C630" s="79">
        <v>-35</v>
      </c>
      <c r="D630" s="14" t="s">
        <v>147</v>
      </c>
      <c r="E630" s="5" t="s">
        <v>118</v>
      </c>
      <c r="F630" s="5" t="s">
        <v>53</v>
      </c>
      <c r="G630" s="5" t="s">
        <v>56</v>
      </c>
    </row>
    <row r="631" spans="2:7" ht="18" hidden="1">
      <c r="B631" s="55">
        <v>46000</v>
      </c>
      <c r="C631" s="79">
        <v>100</v>
      </c>
      <c r="D631" s="14" t="s">
        <v>147</v>
      </c>
      <c r="E631" s="5" t="s">
        <v>34</v>
      </c>
      <c r="F631" s="5" t="s">
        <v>36</v>
      </c>
      <c r="G631" s="5" t="s">
        <v>42</v>
      </c>
    </row>
    <row r="632" spans="2:7" ht="18" hidden="1">
      <c r="B632" s="55">
        <v>46000</v>
      </c>
      <c r="C632" s="79">
        <v>-35</v>
      </c>
      <c r="D632" s="14" t="s">
        <v>147</v>
      </c>
      <c r="E632" s="5" t="s">
        <v>118</v>
      </c>
      <c r="F632" s="5" t="s">
        <v>53</v>
      </c>
      <c r="G632" s="5" t="s">
        <v>56</v>
      </c>
    </row>
    <row r="633" spans="2:7" ht="18" hidden="1">
      <c r="B633" s="55">
        <v>46001</v>
      </c>
      <c r="C633" s="79">
        <v>-19</v>
      </c>
      <c r="D633" s="14" t="s">
        <v>147</v>
      </c>
      <c r="E633" s="5" t="s">
        <v>118</v>
      </c>
      <c r="F633" s="5" t="s">
        <v>53</v>
      </c>
      <c r="G633" s="5" t="s">
        <v>56</v>
      </c>
    </row>
    <row r="634" spans="2:7" ht="18" hidden="1">
      <c r="B634" s="55">
        <v>46001</v>
      </c>
      <c r="C634" s="79">
        <v>-15</v>
      </c>
      <c r="D634" s="14" t="s">
        <v>147</v>
      </c>
      <c r="E634" s="5" t="s">
        <v>118</v>
      </c>
      <c r="F634" s="5" t="s">
        <v>38</v>
      </c>
      <c r="G634" s="5" t="s">
        <v>48</v>
      </c>
    </row>
    <row r="635" spans="2:7" ht="18" hidden="1">
      <c r="B635" s="55">
        <v>46001</v>
      </c>
      <c r="C635" s="79">
        <v>112.3</v>
      </c>
      <c r="D635" s="14" t="s">
        <v>147</v>
      </c>
      <c r="E635" s="5" t="s">
        <v>34</v>
      </c>
      <c r="F635" s="5" t="s">
        <v>36</v>
      </c>
      <c r="G635" s="5" t="s">
        <v>42</v>
      </c>
    </row>
    <row r="636" spans="2:7" ht="18" hidden="1">
      <c r="B636" s="55">
        <v>46003</v>
      </c>
      <c r="C636" s="79">
        <v>-30</v>
      </c>
      <c r="D636" s="14" t="s">
        <v>147</v>
      </c>
      <c r="E636" s="5" t="s">
        <v>118</v>
      </c>
      <c r="F636" s="5" t="s">
        <v>53</v>
      </c>
      <c r="G636" s="5" t="s">
        <v>56</v>
      </c>
    </row>
    <row r="637" spans="2:7" ht="18" hidden="1">
      <c r="B637" s="55">
        <v>46003</v>
      </c>
      <c r="C637" s="79">
        <v>-40</v>
      </c>
      <c r="D637" s="14" t="s">
        <v>147</v>
      </c>
      <c r="E637" s="5" t="s">
        <v>118</v>
      </c>
      <c r="F637" s="5" t="s">
        <v>53</v>
      </c>
      <c r="G637" s="5" t="s">
        <v>55</v>
      </c>
    </row>
    <row r="638" spans="2:7" ht="18" hidden="1">
      <c r="B638" s="55">
        <v>46003</v>
      </c>
      <c r="C638" s="79">
        <v>-219.74299999999999</v>
      </c>
      <c r="D638" s="14" t="s">
        <v>147</v>
      </c>
      <c r="E638" s="5" t="s">
        <v>118</v>
      </c>
      <c r="F638" s="5" t="s">
        <v>38</v>
      </c>
      <c r="G638" s="5" t="s">
        <v>48</v>
      </c>
    </row>
    <row r="639" spans="2:7" ht="18" hidden="1">
      <c r="B639" s="55">
        <v>46003</v>
      </c>
      <c r="C639" s="79">
        <v>-50</v>
      </c>
      <c r="D639" s="14" t="s">
        <v>147</v>
      </c>
      <c r="E639" s="5" t="s">
        <v>118</v>
      </c>
      <c r="F639" s="5" t="s">
        <v>53</v>
      </c>
      <c r="G639" s="5" t="s">
        <v>55</v>
      </c>
    </row>
    <row r="640" spans="2:7" ht="18" hidden="1">
      <c r="B640" s="55">
        <v>46003</v>
      </c>
      <c r="C640" s="79">
        <v>-49.699999999999989</v>
      </c>
      <c r="D640" s="14" t="s">
        <v>147</v>
      </c>
      <c r="E640" s="5" t="s">
        <v>118</v>
      </c>
      <c r="F640" s="5" t="s">
        <v>63</v>
      </c>
      <c r="G640" s="5" t="s">
        <v>65</v>
      </c>
    </row>
    <row r="641" spans="2:7" ht="18" hidden="1">
      <c r="B641" s="55">
        <v>46005</v>
      </c>
      <c r="C641" s="79">
        <v>-50.084000000000003</v>
      </c>
      <c r="D641" s="14" t="s">
        <v>147</v>
      </c>
      <c r="E641" s="5" t="s">
        <v>118</v>
      </c>
      <c r="F641" s="5" t="s">
        <v>38</v>
      </c>
      <c r="G641" s="5" t="s">
        <v>51</v>
      </c>
    </row>
    <row r="642" spans="2:7" ht="18" hidden="1">
      <c r="B642" s="55">
        <v>46005</v>
      </c>
      <c r="C642" s="79">
        <v>-5</v>
      </c>
      <c r="D642" s="14" t="s">
        <v>95</v>
      </c>
      <c r="E642" s="5" t="s">
        <v>118</v>
      </c>
      <c r="F642" s="5" t="s">
        <v>38</v>
      </c>
      <c r="G642" s="5" t="s">
        <v>51</v>
      </c>
    </row>
    <row r="643" spans="2:7" ht="18" hidden="1">
      <c r="B643" s="55">
        <v>46005</v>
      </c>
      <c r="C643" s="79">
        <v>-15</v>
      </c>
      <c r="D643" s="14" t="s">
        <v>147</v>
      </c>
      <c r="E643" s="5" t="s">
        <v>118</v>
      </c>
      <c r="F643" s="5" t="s">
        <v>53</v>
      </c>
      <c r="G643" s="5" t="s">
        <v>56</v>
      </c>
    </row>
    <row r="644" spans="2:7" ht="18" hidden="1">
      <c r="B644" s="55">
        <v>46006</v>
      </c>
      <c r="C644" s="79">
        <v>-53.131999999999998</v>
      </c>
      <c r="D644" s="14" t="s">
        <v>147</v>
      </c>
      <c r="E644" s="5" t="s">
        <v>118</v>
      </c>
      <c r="F644" s="5" t="s">
        <v>38</v>
      </c>
      <c r="G644" s="5" t="s">
        <v>51</v>
      </c>
    </row>
    <row r="645" spans="2:7" ht="18" hidden="1">
      <c r="B645" s="55">
        <v>46006</v>
      </c>
      <c r="C645" s="79">
        <v>-77</v>
      </c>
      <c r="D645" s="14" t="s">
        <v>147</v>
      </c>
      <c r="E645" s="5" t="s">
        <v>118</v>
      </c>
      <c r="F645" s="5" t="s">
        <v>53</v>
      </c>
      <c r="G645" s="5" t="s">
        <v>56</v>
      </c>
    </row>
    <row r="646" spans="2:7" ht="18" hidden="1">
      <c r="B646" s="55">
        <v>46007</v>
      </c>
      <c r="C646" s="79">
        <v>237</v>
      </c>
      <c r="D646" s="14" t="s">
        <v>147</v>
      </c>
      <c r="E646" s="5" t="s">
        <v>34</v>
      </c>
      <c r="F646" s="5" t="s">
        <v>36</v>
      </c>
      <c r="G646" s="5" t="s">
        <v>42</v>
      </c>
    </row>
    <row r="647" spans="2:7" ht="18" hidden="1">
      <c r="B647" s="55">
        <v>46007</v>
      </c>
      <c r="C647" s="79">
        <v>-19</v>
      </c>
      <c r="D647" s="14" t="s">
        <v>147</v>
      </c>
      <c r="E647" s="5" t="s">
        <v>118</v>
      </c>
      <c r="F647" s="5" t="s">
        <v>53</v>
      </c>
      <c r="G647" s="5" t="s">
        <v>56</v>
      </c>
    </row>
    <row r="648" spans="2:7" ht="18" hidden="1">
      <c r="B648" s="55">
        <v>46007</v>
      </c>
      <c r="C648" s="79">
        <v>-33</v>
      </c>
      <c r="D648" s="14" t="s">
        <v>147</v>
      </c>
      <c r="E648" s="5" t="s">
        <v>118</v>
      </c>
      <c r="F648" s="5" t="s">
        <v>53</v>
      </c>
      <c r="G648" s="5" t="s">
        <v>56</v>
      </c>
    </row>
    <row r="649" spans="2:7" ht="18" hidden="1">
      <c r="B649" s="55">
        <v>46007</v>
      </c>
      <c r="C649" s="79">
        <v>-33</v>
      </c>
      <c r="D649" s="14" t="s">
        <v>147</v>
      </c>
      <c r="E649" s="5" t="s">
        <v>118</v>
      </c>
      <c r="F649" s="5" t="s">
        <v>53</v>
      </c>
      <c r="G649" s="5" t="s">
        <v>55</v>
      </c>
    </row>
    <row r="650" spans="2:7" ht="18" hidden="1">
      <c r="B650" s="55">
        <v>46008</v>
      </c>
      <c r="C650" s="79">
        <v>-19</v>
      </c>
      <c r="D650" s="14" t="s">
        <v>147</v>
      </c>
      <c r="E650" s="5" t="s">
        <v>118</v>
      </c>
      <c r="F650" s="5" t="s">
        <v>53</v>
      </c>
      <c r="G650" s="5" t="s">
        <v>56</v>
      </c>
    </row>
    <row r="651" spans="2:7" ht="18" hidden="1">
      <c r="B651" s="55">
        <v>46008</v>
      </c>
      <c r="C651" s="79">
        <v>-35</v>
      </c>
      <c r="D651" s="14" t="s">
        <v>147</v>
      </c>
      <c r="E651" s="5" t="s">
        <v>118</v>
      </c>
      <c r="F651" s="5" t="s">
        <v>53</v>
      </c>
      <c r="G651" s="5" t="s">
        <v>55</v>
      </c>
    </row>
    <row r="652" spans="2:7" ht="18" hidden="1">
      <c r="B652" s="55">
        <v>46008</v>
      </c>
      <c r="C652" s="79">
        <v>-54.216000000000001</v>
      </c>
      <c r="D652" s="14" t="s">
        <v>147</v>
      </c>
      <c r="E652" s="5" t="s">
        <v>118</v>
      </c>
      <c r="F652" s="5" t="s">
        <v>38</v>
      </c>
      <c r="G652" s="5" t="s">
        <v>51</v>
      </c>
    </row>
    <row r="653" spans="2:7" ht="18" hidden="1">
      <c r="B653" s="55">
        <v>46010</v>
      </c>
      <c r="C653" s="79">
        <v>-89</v>
      </c>
      <c r="D653" s="14" t="s">
        <v>147</v>
      </c>
      <c r="E653" s="5" t="s">
        <v>118</v>
      </c>
      <c r="F653" s="5" t="s">
        <v>53</v>
      </c>
      <c r="G653" s="5" t="s">
        <v>56</v>
      </c>
    </row>
    <row r="654" spans="2:7" ht="18" hidden="1">
      <c r="B654" s="55">
        <v>46011</v>
      </c>
      <c r="C654" s="79">
        <v>-25</v>
      </c>
      <c r="D654" s="14" t="s">
        <v>147</v>
      </c>
      <c r="E654" s="5" t="s">
        <v>118</v>
      </c>
      <c r="F654" s="5" t="s">
        <v>53</v>
      </c>
      <c r="G654" s="5" t="s">
        <v>56</v>
      </c>
    </row>
    <row r="655" spans="2:7" ht="18" hidden="1">
      <c r="B655" s="55">
        <v>46012</v>
      </c>
      <c r="C655" s="79">
        <v>2.1999999999999999E-2</v>
      </c>
      <c r="D655" s="14" t="s">
        <v>147</v>
      </c>
      <c r="E655" s="5" t="s">
        <v>34</v>
      </c>
      <c r="F655" s="5" t="s">
        <v>36</v>
      </c>
      <c r="G655" s="5" t="s">
        <v>42</v>
      </c>
    </row>
    <row r="656" spans="2:7" ht="18" hidden="1">
      <c r="B656" s="55">
        <v>46011</v>
      </c>
      <c r="C656" s="79">
        <v>-27.6</v>
      </c>
      <c r="D656" s="14" t="s">
        <v>148</v>
      </c>
      <c r="E656" s="5" t="s">
        <v>118</v>
      </c>
      <c r="F656" s="5" t="s">
        <v>53</v>
      </c>
      <c r="G656" s="5" t="s">
        <v>55</v>
      </c>
    </row>
    <row r="657" spans="2:7" ht="18" hidden="1">
      <c r="B657" s="55">
        <v>46012</v>
      </c>
      <c r="C657" s="79">
        <v>-50</v>
      </c>
      <c r="D657" s="14" t="s">
        <v>147</v>
      </c>
      <c r="E657" s="5" t="s">
        <v>118</v>
      </c>
      <c r="F657" s="5" t="s">
        <v>53</v>
      </c>
      <c r="G657" s="5" t="s">
        <v>56</v>
      </c>
    </row>
    <row r="658" spans="2:7" ht="18" hidden="1">
      <c r="B658" s="55">
        <v>46011</v>
      </c>
      <c r="C658" s="79">
        <v>-3</v>
      </c>
      <c r="D658" s="14" t="s">
        <v>95</v>
      </c>
      <c r="E658" s="5" t="s">
        <v>118</v>
      </c>
      <c r="F658" s="5" t="s">
        <v>38</v>
      </c>
      <c r="G658" s="5" t="s">
        <v>51</v>
      </c>
    </row>
    <row r="659" spans="2:7" ht="18" hidden="1">
      <c r="B659" s="55">
        <v>46011</v>
      </c>
      <c r="C659" s="79">
        <v>-3</v>
      </c>
      <c r="D659" s="14" t="s">
        <v>95</v>
      </c>
      <c r="E659" s="5" t="s">
        <v>118</v>
      </c>
      <c r="F659" s="5" t="s">
        <v>53</v>
      </c>
      <c r="G659" s="5" t="s">
        <v>55</v>
      </c>
    </row>
    <row r="660" spans="2:7" ht="18" hidden="1">
      <c r="B660" s="55">
        <v>46012</v>
      </c>
      <c r="C660" s="79">
        <v>-78</v>
      </c>
      <c r="D660" s="14" t="s">
        <v>148</v>
      </c>
      <c r="E660" s="5" t="s">
        <v>118</v>
      </c>
      <c r="F660" s="5" t="s">
        <v>53</v>
      </c>
      <c r="G660" s="5" t="s">
        <v>56</v>
      </c>
    </row>
    <row r="661" spans="2:7" ht="18" hidden="1">
      <c r="B661" s="55">
        <v>46013</v>
      </c>
      <c r="C661" s="79">
        <v>-54.936</v>
      </c>
      <c r="D661" s="14" t="s">
        <v>148</v>
      </c>
      <c r="E661" s="5" t="s">
        <v>118</v>
      </c>
      <c r="F661" s="5" t="s">
        <v>38</v>
      </c>
      <c r="G661" s="5" t="s">
        <v>51</v>
      </c>
    </row>
    <row r="662" spans="2:7" ht="18" hidden="1">
      <c r="B662" s="55">
        <v>46013</v>
      </c>
      <c r="C662" s="79">
        <v>-30</v>
      </c>
      <c r="D662" s="14" t="s">
        <v>148</v>
      </c>
      <c r="E662" s="5" t="s">
        <v>118</v>
      </c>
      <c r="F662" s="5" t="s">
        <v>53</v>
      </c>
      <c r="G662" s="5" t="s">
        <v>55</v>
      </c>
    </row>
    <row r="663" spans="2:7" ht="18" hidden="1">
      <c r="B663" s="55">
        <v>46013</v>
      </c>
      <c r="C663" s="79">
        <v>-50</v>
      </c>
      <c r="D663" s="14" t="s">
        <v>148</v>
      </c>
      <c r="E663" s="5" t="s">
        <v>118</v>
      </c>
      <c r="F663" s="5" t="s">
        <v>53</v>
      </c>
      <c r="G663" s="5" t="s">
        <v>56</v>
      </c>
    </row>
    <row r="664" spans="2:7" ht="18" hidden="1">
      <c r="B664" s="55">
        <v>46014</v>
      </c>
      <c r="C664" s="79">
        <v>-16</v>
      </c>
      <c r="D664" s="14" t="s">
        <v>147</v>
      </c>
      <c r="E664" s="5" t="s">
        <v>118</v>
      </c>
      <c r="F664" s="5" t="s">
        <v>53</v>
      </c>
      <c r="G664" s="5" t="s">
        <v>56</v>
      </c>
    </row>
    <row r="665" spans="2:7" ht="18" hidden="1">
      <c r="B665" s="55">
        <v>46014</v>
      </c>
      <c r="C665" s="79">
        <v>-30</v>
      </c>
      <c r="D665" s="14" t="s">
        <v>148</v>
      </c>
      <c r="E665" s="5" t="s">
        <v>118</v>
      </c>
      <c r="F665" s="5" t="s">
        <v>53</v>
      </c>
      <c r="G665" s="5" t="s">
        <v>55</v>
      </c>
    </row>
    <row r="666" spans="2:7" ht="18" hidden="1">
      <c r="B666" s="55">
        <v>46014</v>
      </c>
      <c r="C666" s="79">
        <v>-1</v>
      </c>
      <c r="D666" s="14" t="s">
        <v>148</v>
      </c>
      <c r="E666" s="5" t="s">
        <v>118</v>
      </c>
      <c r="F666" s="5" t="s">
        <v>53</v>
      </c>
      <c r="G666" s="5" t="s">
        <v>55</v>
      </c>
    </row>
    <row r="667" spans="2:7" ht="18" hidden="1">
      <c r="B667" s="55">
        <v>46014</v>
      </c>
      <c r="C667" s="79">
        <v>-20</v>
      </c>
      <c r="D667" s="14" t="s">
        <v>147</v>
      </c>
      <c r="E667" s="5" t="s">
        <v>118</v>
      </c>
      <c r="F667" s="5" t="s">
        <v>53</v>
      </c>
      <c r="G667" s="5" t="s">
        <v>56</v>
      </c>
    </row>
    <row r="668" spans="2:7" ht="18" hidden="1">
      <c r="B668" s="55">
        <v>46014</v>
      </c>
      <c r="C668" s="79">
        <v>1500</v>
      </c>
      <c r="D668" s="14" t="s">
        <v>147</v>
      </c>
      <c r="E668" s="5" t="s">
        <v>34</v>
      </c>
      <c r="F668" s="5" t="s">
        <v>35</v>
      </c>
      <c r="G668" s="5" t="s">
        <v>39</v>
      </c>
    </row>
    <row r="669" spans="2:7" ht="18" hidden="1">
      <c r="B669" s="55">
        <v>46013</v>
      </c>
      <c r="C669" s="79">
        <v>500</v>
      </c>
      <c r="D669" s="14" t="s">
        <v>95</v>
      </c>
      <c r="E669" s="5" t="s">
        <v>34</v>
      </c>
      <c r="F669" s="5" t="s">
        <v>35</v>
      </c>
      <c r="G669" s="5" t="s">
        <v>39</v>
      </c>
    </row>
    <row r="670" spans="2:7" ht="18" hidden="1">
      <c r="B670" s="55">
        <v>46015</v>
      </c>
      <c r="C670" s="79">
        <v>-902.5</v>
      </c>
      <c r="D670" s="14" t="s">
        <v>148</v>
      </c>
      <c r="E670" s="5" t="s">
        <v>118</v>
      </c>
      <c r="F670" s="5" t="s">
        <v>38</v>
      </c>
      <c r="G670" s="5" t="s">
        <v>51</v>
      </c>
    </row>
    <row r="671" spans="2:7" ht="18" hidden="1">
      <c r="B671" s="55">
        <v>46015</v>
      </c>
      <c r="C671" s="79">
        <v>-6</v>
      </c>
      <c r="D671" s="14" t="s">
        <v>148</v>
      </c>
      <c r="E671" s="5" t="s">
        <v>118</v>
      </c>
      <c r="F671" s="5" t="s">
        <v>53</v>
      </c>
      <c r="G671" s="5" t="s">
        <v>55</v>
      </c>
    </row>
    <row r="672" spans="2:7" ht="18" hidden="1">
      <c r="B672" s="55">
        <v>46015</v>
      </c>
      <c r="C672" s="79">
        <v>1</v>
      </c>
      <c r="D672" s="14" t="s">
        <v>147</v>
      </c>
      <c r="E672" s="5" t="s">
        <v>34</v>
      </c>
      <c r="F672" s="5" t="s">
        <v>35</v>
      </c>
      <c r="G672" s="5" t="s">
        <v>39</v>
      </c>
    </row>
    <row r="673" spans="2:7" ht="18" hidden="1">
      <c r="B673" s="55">
        <v>46015</v>
      </c>
      <c r="C673" s="79">
        <v>50</v>
      </c>
      <c r="D673" s="14" t="s">
        <v>147</v>
      </c>
      <c r="E673" s="5" t="s">
        <v>34</v>
      </c>
      <c r="F673" s="5" t="s">
        <v>36</v>
      </c>
      <c r="G673" s="5" t="s">
        <v>42</v>
      </c>
    </row>
    <row r="674" spans="2:7" ht="18" hidden="1">
      <c r="B674" s="55">
        <v>46015</v>
      </c>
      <c r="C674" s="79">
        <v>-400</v>
      </c>
      <c r="D674" s="14" t="s">
        <v>95</v>
      </c>
      <c r="E674" s="5" t="s">
        <v>118</v>
      </c>
      <c r="F674" s="5" t="s">
        <v>53</v>
      </c>
      <c r="G674" s="5" t="s">
        <v>55</v>
      </c>
    </row>
    <row r="675" spans="2:7" ht="18" hidden="1">
      <c r="B675" s="55">
        <v>46016</v>
      </c>
      <c r="C675" s="79">
        <v>-47.206000000000003</v>
      </c>
      <c r="D675" s="14" t="s">
        <v>147</v>
      </c>
      <c r="E675" s="5" t="s">
        <v>118</v>
      </c>
      <c r="F675" s="5" t="s">
        <v>38</v>
      </c>
      <c r="G675" s="5" t="s">
        <v>51</v>
      </c>
    </row>
    <row r="676" spans="2:7" ht="18" hidden="1">
      <c r="B676" s="55">
        <v>46016</v>
      </c>
      <c r="C676" s="79">
        <v>-30</v>
      </c>
      <c r="D676" s="14" t="s">
        <v>147</v>
      </c>
      <c r="E676" s="5" t="s">
        <v>118</v>
      </c>
      <c r="F676" s="5" t="s">
        <v>53</v>
      </c>
      <c r="G676" s="5" t="s">
        <v>56</v>
      </c>
    </row>
    <row r="677" spans="2:7" ht="18" hidden="1">
      <c r="B677" s="55">
        <v>46016</v>
      </c>
      <c r="C677" s="79">
        <v>-30</v>
      </c>
      <c r="D677" s="14" t="s">
        <v>147</v>
      </c>
      <c r="E677" s="5" t="s">
        <v>118</v>
      </c>
      <c r="F677" s="5" t="s">
        <v>53</v>
      </c>
      <c r="G677" s="5" t="s">
        <v>56</v>
      </c>
    </row>
    <row r="678" spans="2:7" ht="18" hidden="1">
      <c r="B678" s="55">
        <v>46016</v>
      </c>
      <c r="C678" s="79">
        <v>-55</v>
      </c>
      <c r="D678" s="14" t="s">
        <v>95</v>
      </c>
      <c r="E678" s="5" t="s">
        <v>118</v>
      </c>
      <c r="F678" s="5" t="s">
        <v>53</v>
      </c>
      <c r="G678" s="5" t="s">
        <v>55</v>
      </c>
    </row>
    <row r="679" spans="2:7" ht="18" hidden="1">
      <c r="B679" s="55">
        <v>46016</v>
      </c>
      <c r="C679" s="79">
        <v>-500</v>
      </c>
      <c r="D679" s="14" t="s">
        <v>147</v>
      </c>
      <c r="E679" s="5" t="s">
        <v>118</v>
      </c>
      <c r="F679" s="5" t="s">
        <v>63</v>
      </c>
      <c r="G679" s="5" t="s">
        <v>65</v>
      </c>
    </row>
    <row r="680" spans="2:7" ht="18" hidden="1">
      <c r="B680" s="55">
        <v>46017</v>
      </c>
      <c r="C680" s="79">
        <v>-40</v>
      </c>
      <c r="D680" s="14" t="s">
        <v>147</v>
      </c>
      <c r="E680" s="5" t="s">
        <v>118</v>
      </c>
      <c r="F680" s="5" t="s">
        <v>53</v>
      </c>
      <c r="G680" s="5" t="s">
        <v>56</v>
      </c>
    </row>
    <row r="681" spans="2:7" ht="18" hidden="1">
      <c r="B681" s="55">
        <v>46017</v>
      </c>
      <c r="C681" s="79">
        <v>-40</v>
      </c>
      <c r="D681" s="14" t="s">
        <v>147</v>
      </c>
      <c r="E681" s="5" t="s">
        <v>118</v>
      </c>
      <c r="F681" s="5" t="s">
        <v>53</v>
      </c>
      <c r="G681" s="5" t="s">
        <v>56</v>
      </c>
    </row>
    <row r="682" spans="2:7" ht="18" hidden="1">
      <c r="B682" s="55">
        <v>46017</v>
      </c>
      <c r="C682" s="79">
        <v>-5</v>
      </c>
      <c r="D682" s="14" t="s">
        <v>147</v>
      </c>
      <c r="E682" s="5" t="s">
        <v>118</v>
      </c>
      <c r="F682" s="5" t="s">
        <v>53</v>
      </c>
      <c r="G682" s="5" t="s">
        <v>55</v>
      </c>
    </row>
    <row r="683" spans="2:7" ht="18" hidden="1">
      <c r="B683" s="55">
        <v>46017</v>
      </c>
      <c r="C683" s="79">
        <v>-190</v>
      </c>
      <c r="D683" s="14" t="s">
        <v>148</v>
      </c>
      <c r="E683" s="5" t="s">
        <v>118</v>
      </c>
      <c r="F683" s="5" t="s">
        <v>53</v>
      </c>
      <c r="G683" s="5" t="s">
        <v>55</v>
      </c>
    </row>
    <row r="684" spans="2:7" ht="18" hidden="1">
      <c r="B684" s="55">
        <v>46018</v>
      </c>
      <c r="C684" s="79">
        <v>-48</v>
      </c>
      <c r="D684" s="14" t="s">
        <v>147</v>
      </c>
      <c r="E684" s="5" t="s">
        <v>118</v>
      </c>
      <c r="F684" s="5" t="s">
        <v>38</v>
      </c>
      <c r="G684" s="5" t="s">
        <v>51</v>
      </c>
    </row>
    <row r="685" spans="2:7" ht="18" hidden="1">
      <c r="B685" s="55">
        <v>46019</v>
      </c>
      <c r="C685" s="79">
        <v>-40</v>
      </c>
      <c r="D685" s="14" t="s">
        <v>147</v>
      </c>
      <c r="E685" s="5" t="s">
        <v>118</v>
      </c>
      <c r="F685" s="5" t="s">
        <v>63</v>
      </c>
      <c r="G685" s="5" t="s">
        <v>65</v>
      </c>
    </row>
    <row r="686" spans="2:7" ht="18" hidden="1">
      <c r="B686" s="55">
        <v>46019</v>
      </c>
      <c r="C686" s="79">
        <v>-313</v>
      </c>
      <c r="D686" s="14" t="s">
        <v>147</v>
      </c>
      <c r="E686" s="5" t="s">
        <v>118</v>
      </c>
      <c r="F686" s="5" t="s">
        <v>38</v>
      </c>
      <c r="G686" s="5" t="s">
        <v>51</v>
      </c>
    </row>
    <row r="687" spans="2:7" ht="18" hidden="1">
      <c r="B687" s="55">
        <v>46020</v>
      </c>
      <c r="C687" s="79">
        <v>3000</v>
      </c>
      <c r="D687" s="14" t="s">
        <v>147</v>
      </c>
      <c r="E687" s="5" t="s">
        <v>34</v>
      </c>
      <c r="F687" s="5" t="s">
        <v>35</v>
      </c>
      <c r="G687" s="5" t="s">
        <v>39</v>
      </c>
    </row>
    <row r="688" spans="2:7" ht="18" hidden="1">
      <c r="B688" s="55">
        <v>46020</v>
      </c>
      <c r="C688" s="79">
        <v>-1753</v>
      </c>
      <c r="D688" s="14" t="s">
        <v>147</v>
      </c>
      <c r="E688" s="5" t="s">
        <v>118</v>
      </c>
      <c r="F688" s="5" t="s">
        <v>53</v>
      </c>
      <c r="G688" s="5" t="s">
        <v>55</v>
      </c>
    </row>
    <row r="689" spans="2:7" ht="18" hidden="1">
      <c r="B689" s="55">
        <v>46020</v>
      </c>
      <c r="C689" s="79">
        <v>-20</v>
      </c>
      <c r="D689" s="14" t="s">
        <v>147</v>
      </c>
      <c r="E689" s="5" t="s">
        <v>118</v>
      </c>
      <c r="F689" s="5" t="s">
        <v>53</v>
      </c>
      <c r="G689" s="5" t="s">
        <v>56</v>
      </c>
    </row>
    <row r="690" spans="2:7" ht="18" hidden="1">
      <c r="B690" s="55">
        <v>46020</v>
      </c>
      <c r="C690" s="79">
        <v>-250</v>
      </c>
      <c r="D690" s="14" t="s">
        <v>147</v>
      </c>
      <c r="E690" s="5" t="s">
        <v>118</v>
      </c>
      <c r="F690" s="5" t="s">
        <v>38</v>
      </c>
      <c r="G690" s="5" t="s">
        <v>51</v>
      </c>
    </row>
    <row r="691" spans="2:7" ht="18" hidden="1">
      <c r="B691" s="55">
        <v>46021</v>
      </c>
      <c r="C691" s="79">
        <v>-47</v>
      </c>
      <c r="D691" s="14" t="s">
        <v>147</v>
      </c>
      <c r="E691" s="5" t="s">
        <v>118</v>
      </c>
      <c r="F691" s="5" t="s">
        <v>38</v>
      </c>
      <c r="G691" s="5" t="s">
        <v>51</v>
      </c>
    </row>
    <row r="692" spans="2:7" ht="18" hidden="1">
      <c r="B692" s="55">
        <v>46022</v>
      </c>
      <c r="C692" s="79">
        <v>24750</v>
      </c>
      <c r="D692" s="14" t="s">
        <v>147</v>
      </c>
      <c r="E692" s="5" t="s">
        <v>34</v>
      </c>
      <c r="F692" s="5" t="s">
        <v>35</v>
      </c>
      <c r="G692" s="5" t="s">
        <v>39</v>
      </c>
    </row>
    <row r="693" spans="2:7" ht="18" hidden="1">
      <c r="B693" s="55">
        <v>46022</v>
      </c>
      <c r="C693" s="79">
        <v>-23000</v>
      </c>
      <c r="D693" s="14" t="s">
        <v>147</v>
      </c>
      <c r="E693" s="5" t="s">
        <v>118</v>
      </c>
      <c r="F693" s="5" t="s">
        <v>63</v>
      </c>
      <c r="G693" s="5" t="s">
        <v>65</v>
      </c>
    </row>
    <row r="694" spans="2:7" ht="18" hidden="1">
      <c r="B694" s="55">
        <v>46022</v>
      </c>
      <c r="C694" s="79">
        <v>-53.856000000000002</v>
      </c>
      <c r="D694" s="14" t="s">
        <v>147</v>
      </c>
      <c r="E694" s="5" t="s">
        <v>118</v>
      </c>
      <c r="F694" s="5" t="s">
        <v>38</v>
      </c>
      <c r="G694" s="5" t="s">
        <v>51</v>
      </c>
    </row>
    <row r="695" spans="2:7" ht="18" hidden="1">
      <c r="B695" s="55">
        <v>46024</v>
      </c>
      <c r="C695" s="79">
        <v>-52</v>
      </c>
      <c r="D695" s="14" t="s">
        <v>147</v>
      </c>
      <c r="E695" s="5" t="s">
        <v>118</v>
      </c>
      <c r="F695" s="5" t="s">
        <v>38</v>
      </c>
      <c r="G695" s="5" t="s">
        <v>48</v>
      </c>
    </row>
    <row r="696" spans="2:7" ht="18" hidden="1">
      <c r="B696" s="55">
        <v>46024</v>
      </c>
      <c r="C696" s="79">
        <v>-200</v>
      </c>
      <c r="D696" s="14" t="s">
        <v>147</v>
      </c>
      <c r="E696" s="5" t="s">
        <v>118</v>
      </c>
      <c r="F696" s="5" t="s">
        <v>38</v>
      </c>
      <c r="G696" s="5" t="s">
        <v>48</v>
      </c>
    </row>
    <row r="697" spans="2:7" ht="18" hidden="1">
      <c r="B697" s="55">
        <v>46024</v>
      </c>
      <c r="C697" s="79">
        <v>-333</v>
      </c>
      <c r="D697" s="14" t="s">
        <v>147</v>
      </c>
      <c r="E697" s="5" t="s">
        <v>118</v>
      </c>
      <c r="F697" s="5" t="s">
        <v>53</v>
      </c>
      <c r="G697" s="5" t="s">
        <v>55</v>
      </c>
    </row>
    <row r="698" spans="2:7" ht="18" hidden="1">
      <c r="B698" s="55">
        <v>46024</v>
      </c>
      <c r="C698" s="79">
        <v>-275</v>
      </c>
      <c r="D698" s="14" t="s">
        <v>147</v>
      </c>
      <c r="E698" s="5" t="s">
        <v>118</v>
      </c>
      <c r="F698" s="5" t="s">
        <v>53</v>
      </c>
      <c r="G698" s="5" t="s">
        <v>56</v>
      </c>
    </row>
    <row r="699" spans="2:7" ht="18" hidden="1">
      <c r="B699" s="55">
        <v>46024</v>
      </c>
      <c r="C699" s="79">
        <v>-422</v>
      </c>
      <c r="D699" s="14" t="s">
        <v>147</v>
      </c>
      <c r="E699" s="5" t="s">
        <v>118</v>
      </c>
      <c r="F699" s="5" t="s">
        <v>53</v>
      </c>
      <c r="G699" s="5" t="s">
        <v>55</v>
      </c>
    </row>
    <row r="700" spans="2:7" ht="18" hidden="1">
      <c r="B700" s="55">
        <v>46024</v>
      </c>
      <c r="C700" s="79">
        <v>-180</v>
      </c>
      <c r="D700" s="14" t="s">
        <v>147</v>
      </c>
      <c r="E700" s="5" t="s">
        <v>118</v>
      </c>
      <c r="F700" s="5" t="s">
        <v>53</v>
      </c>
      <c r="G700" s="5" t="s">
        <v>56</v>
      </c>
    </row>
    <row r="701" spans="2:7" ht="18" hidden="1">
      <c r="B701" s="55">
        <v>46025</v>
      </c>
      <c r="C701" s="79">
        <v>-20</v>
      </c>
      <c r="D701" s="14" t="s">
        <v>147</v>
      </c>
      <c r="E701" s="5" t="s">
        <v>118</v>
      </c>
      <c r="F701" s="5" t="s">
        <v>53</v>
      </c>
      <c r="G701" s="5" t="s">
        <v>56</v>
      </c>
    </row>
    <row r="702" spans="2:7" ht="18" hidden="1">
      <c r="B702" s="55">
        <v>46026</v>
      </c>
      <c r="C702" s="79">
        <v>-20</v>
      </c>
      <c r="D702" s="14" t="s">
        <v>147</v>
      </c>
      <c r="E702" s="5" t="s">
        <v>118</v>
      </c>
      <c r="F702" s="5" t="s">
        <v>53</v>
      </c>
      <c r="G702" s="5" t="s">
        <v>56</v>
      </c>
    </row>
    <row r="703" spans="2:7" ht="18" hidden="1">
      <c r="B703" s="55">
        <v>46028</v>
      </c>
      <c r="C703" s="79">
        <v>-80</v>
      </c>
      <c r="D703" s="14" t="s">
        <v>149</v>
      </c>
      <c r="E703" s="5" t="s">
        <v>118</v>
      </c>
      <c r="F703" s="5" t="s">
        <v>53</v>
      </c>
      <c r="G703" s="5" t="s">
        <v>56</v>
      </c>
    </row>
    <row r="704" spans="2:7" ht="18" hidden="1">
      <c r="B704" s="55">
        <v>46028</v>
      </c>
      <c r="C704" s="79">
        <v>-50.07</v>
      </c>
      <c r="D704" s="14" t="s">
        <v>147</v>
      </c>
      <c r="E704" s="5" t="s">
        <v>118</v>
      </c>
      <c r="F704" s="5" t="s">
        <v>53</v>
      </c>
      <c r="G704" s="5" t="s">
        <v>56</v>
      </c>
    </row>
    <row r="705" spans="2:7" ht="18" hidden="1">
      <c r="B705" s="55">
        <v>46026</v>
      </c>
      <c r="C705" s="79">
        <v>-75</v>
      </c>
      <c r="D705" s="14" t="s">
        <v>95</v>
      </c>
      <c r="E705" s="5" t="s">
        <v>118</v>
      </c>
      <c r="F705" s="5" t="s">
        <v>53</v>
      </c>
      <c r="G705" s="5" t="s">
        <v>56</v>
      </c>
    </row>
    <row r="706" spans="2:7" ht="18" hidden="1">
      <c r="B706" s="55">
        <v>46026</v>
      </c>
      <c r="C706" s="79">
        <v>-25</v>
      </c>
      <c r="D706" s="14" t="s">
        <v>95</v>
      </c>
      <c r="E706" s="5" t="s">
        <v>118</v>
      </c>
      <c r="F706" s="5" t="s">
        <v>53</v>
      </c>
      <c r="G706" s="5" t="s">
        <v>56</v>
      </c>
    </row>
    <row r="707" spans="2:7" ht="18" hidden="1">
      <c r="B707" s="55">
        <v>46028</v>
      </c>
      <c r="C707" s="79">
        <v>500</v>
      </c>
      <c r="D707" s="14" t="s">
        <v>147</v>
      </c>
      <c r="E707" s="5" t="s">
        <v>34</v>
      </c>
      <c r="F707" s="5" t="s">
        <v>35</v>
      </c>
      <c r="G707" s="5" t="s">
        <v>39</v>
      </c>
    </row>
    <row r="708" spans="2:7" ht="18" hidden="1">
      <c r="B708" s="55">
        <v>46028</v>
      </c>
      <c r="C708" s="79">
        <v>-350</v>
      </c>
      <c r="D708" s="14" t="s">
        <v>95</v>
      </c>
      <c r="E708" s="5" t="s">
        <v>118</v>
      </c>
      <c r="F708" s="5" t="s">
        <v>53</v>
      </c>
      <c r="G708" s="5" t="s">
        <v>56</v>
      </c>
    </row>
    <row r="709" spans="2:7" ht="18" hidden="1">
      <c r="B709" s="55">
        <v>46029</v>
      </c>
      <c r="C709" s="79">
        <v>-57.375</v>
      </c>
      <c r="D709" s="14" t="s">
        <v>147</v>
      </c>
      <c r="E709" s="5" t="s">
        <v>118</v>
      </c>
      <c r="F709" s="5" t="s">
        <v>53</v>
      </c>
      <c r="G709" s="5" t="s">
        <v>56</v>
      </c>
    </row>
    <row r="710" spans="2:7" ht="18" hidden="1">
      <c r="B710" s="55">
        <v>46029</v>
      </c>
      <c r="C710" s="79">
        <v>-57.375</v>
      </c>
      <c r="D710" s="14" t="s">
        <v>147</v>
      </c>
      <c r="E710" s="5" t="s">
        <v>118</v>
      </c>
      <c r="F710" s="5" t="s">
        <v>53</v>
      </c>
      <c r="G710" s="5" t="s">
        <v>55</v>
      </c>
    </row>
    <row r="711" spans="2:7" ht="18" hidden="1">
      <c r="B711" s="55">
        <v>46030</v>
      </c>
      <c r="C711" s="79">
        <v>-47.238</v>
      </c>
      <c r="D711" s="14" t="s">
        <v>147</v>
      </c>
      <c r="E711" s="5" t="s">
        <v>118</v>
      </c>
      <c r="F711" s="5" t="s">
        <v>38</v>
      </c>
      <c r="G711" s="5" t="s">
        <v>51</v>
      </c>
    </row>
    <row r="712" spans="2:7" ht="18" hidden="1">
      <c r="B712" s="55">
        <v>46030</v>
      </c>
      <c r="C712" s="79">
        <v>-113.7</v>
      </c>
      <c r="D712" s="14" t="s">
        <v>147</v>
      </c>
      <c r="E712" s="5" t="s">
        <v>118</v>
      </c>
      <c r="F712" s="5" t="s">
        <v>38</v>
      </c>
      <c r="G712" s="5" t="s">
        <v>48</v>
      </c>
    </row>
    <row r="713" spans="2:7" ht="18" hidden="1">
      <c r="B713" s="55">
        <v>46030</v>
      </c>
      <c r="C713" s="79">
        <v>-30</v>
      </c>
      <c r="D713" s="14" t="s">
        <v>95</v>
      </c>
      <c r="E713" s="5" t="s">
        <v>118</v>
      </c>
      <c r="F713" s="5" t="s">
        <v>38</v>
      </c>
      <c r="G713" s="5" t="s">
        <v>50</v>
      </c>
    </row>
    <row r="714" spans="2:7" ht="18" hidden="1">
      <c r="B714" s="55">
        <v>46030</v>
      </c>
      <c r="C714" s="79">
        <v>96</v>
      </c>
      <c r="D714" s="14" t="s">
        <v>147</v>
      </c>
      <c r="E714" s="5" t="s">
        <v>34</v>
      </c>
      <c r="F714" s="5" t="s">
        <v>36</v>
      </c>
      <c r="G714" s="5" t="s">
        <v>42</v>
      </c>
    </row>
    <row r="715" spans="2:7" ht="18" hidden="1">
      <c r="B715" s="55">
        <v>46033</v>
      </c>
      <c r="C715" s="79">
        <v>-430</v>
      </c>
      <c r="D715" s="14" t="s">
        <v>149</v>
      </c>
      <c r="E715" s="5" t="s">
        <v>118</v>
      </c>
      <c r="F715" s="5" t="s">
        <v>53</v>
      </c>
      <c r="G715" s="5" t="s">
        <v>56</v>
      </c>
    </row>
    <row r="716" spans="2:7" ht="18" hidden="1">
      <c r="B716" s="55">
        <v>46033</v>
      </c>
      <c r="C716" s="79">
        <v>-369</v>
      </c>
      <c r="D716" s="14" t="s">
        <v>149</v>
      </c>
      <c r="E716" s="5" t="s">
        <v>118</v>
      </c>
      <c r="F716" s="5" t="s">
        <v>53</v>
      </c>
      <c r="G716" s="5" t="s">
        <v>55</v>
      </c>
    </row>
    <row r="717" spans="2:7" ht="18" hidden="1">
      <c r="B717" s="55">
        <v>46033</v>
      </c>
      <c r="C717" s="79">
        <v>-50</v>
      </c>
      <c r="D717" s="14" t="s">
        <v>149</v>
      </c>
      <c r="E717" s="5" t="s">
        <v>118</v>
      </c>
      <c r="F717" s="5" t="s">
        <v>53</v>
      </c>
      <c r="G717" s="5" t="s">
        <v>56</v>
      </c>
    </row>
    <row r="718" spans="2:7" ht="18" hidden="1">
      <c r="B718" s="55">
        <v>46034</v>
      </c>
      <c r="C718" s="79">
        <v>-1</v>
      </c>
      <c r="D718" s="14" t="s">
        <v>95</v>
      </c>
      <c r="E718" s="5" t="s">
        <v>118</v>
      </c>
      <c r="F718" s="5" t="s">
        <v>53</v>
      </c>
      <c r="G718" s="5" t="s">
        <v>55</v>
      </c>
    </row>
    <row r="719" spans="2:7" ht="18" hidden="1">
      <c r="B719" s="55">
        <v>46034</v>
      </c>
      <c r="C719" s="79">
        <v>-3</v>
      </c>
      <c r="D719" s="14" t="s">
        <v>95</v>
      </c>
      <c r="E719" s="5" t="s">
        <v>118</v>
      </c>
      <c r="F719" s="5" t="s">
        <v>38</v>
      </c>
      <c r="G719" s="5" t="s">
        <v>51</v>
      </c>
    </row>
    <row r="720" spans="2:7" ht="18" hidden="1">
      <c r="B720" s="55">
        <v>46034</v>
      </c>
      <c r="C720" s="79">
        <v>1000</v>
      </c>
      <c r="D720" s="14" t="s">
        <v>147</v>
      </c>
      <c r="E720" s="5" t="s">
        <v>34</v>
      </c>
      <c r="F720" s="5" t="s">
        <v>35</v>
      </c>
      <c r="G720" s="5" t="s">
        <v>39</v>
      </c>
    </row>
    <row r="721" spans="2:7" ht="18" hidden="1">
      <c r="B721" s="55">
        <v>46035</v>
      </c>
      <c r="C721" s="79">
        <v>-20</v>
      </c>
      <c r="D721" s="14" t="s">
        <v>147</v>
      </c>
      <c r="E721" s="5" t="s">
        <v>118</v>
      </c>
      <c r="F721" s="5" t="s">
        <v>38</v>
      </c>
      <c r="G721" s="5" t="s">
        <v>50</v>
      </c>
    </row>
    <row r="722" spans="2:7" ht="18" hidden="1">
      <c r="B722" s="55">
        <v>46035</v>
      </c>
      <c r="C722" s="79">
        <v>-6</v>
      </c>
      <c r="D722" s="14" t="s">
        <v>95</v>
      </c>
      <c r="E722" s="5" t="s">
        <v>118</v>
      </c>
      <c r="F722" s="5" t="s">
        <v>38</v>
      </c>
      <c r="G722" s="5" t="s">
        <v>51</v>
      </c>
    </row>
    <row r="723" spans="2:7" ht="18" hidden="1">
      <c r="B723" s="55">
        <v>46035</v>
      </c>
      <c r="C723" s="79">
        <v>-50</v>
      </c>
      <c r="D723" s="14" t="s">
        <v>147</v>
      </c>
      <c r="E723" s="5" t="s">
        <v>118</v>
      </c>
      <c r="F723" s="5" t="s">
        <v>38</v>
      </c>
      <c r="G723" s="5" t="s">
        <v>50</v>
      </c>
    </row>
    <row r="724" spans="2:7" ht="18" hidden="1">
      <c r="B724" s="55">
        <v>46035</v>
      </c>
      <c r="C724" s="79">
        <v>-140</v>
      </c>
      <c r="D724" s="14" t="s">
        <v>147</v>
      </c>
      <c r="E724" s="5" t="s">
        <v>118</v>
      </c>
      <c r="F724" s="5" t="s">
        <v>53</v>
      </c>
      <c r="G724" s="5" t="s">
        <v>55</v>
      </c>
    </row>
    <row r="725" spans="2:7" ht="18" hidden="1">
      <c r="B725" s="55">
        <v>46037</v>
      </c>
      <c r="C725" s="79">
        <v>-20</v>
      </c>
      <c r="D725" s="14" t="s">
        <v>147</v>
      </c>
      <c r="E725" s="5" t="s">
        <v>118</v>
      </c>
      <c r="F725" s="5" t="s">
        <v>38</v>
      </c>
      <c r="G725" s="5" t="s">
        <v>50</v>
      </c>
    </row>
    <row r="726" spans="2:7" ht="18" hidden="1">
      <c r="B726" s="55">
        <v>46037</v>
      </c>
      <c r="C726" s="79">
        <v>-6</v>
      </c>
      <c r="D726" s="14" t="s">
        <v>95</v>
      </c>
      <c r="E726" s="5" t="s">
        <v>118</v>
      </c>
      <c r="F726" s="5" t="s">
        <v>38</v>
      </c>
      <c r="G726" s="5" t="s">
        <v>51</v>
      </c>
    </row>
    <row r="727" spans="2:7" ht="18" hidden="1">
      <c r="B727" s="55">
        <v>46038</v>
      </c>
      <c r="C727" s="79">
        <v>3000</v>
      </c>
      <c r="D727" s="14" t="s">
        <v>147</v>
      </c>
      <c r="E727" s="5" t="s">
        <v>34</v>
      </c>
      <c r="F727" s="5" t="s">
        <v>35</v>
      </c>
      <c r="G727" s="5" t="s">
        <v>39</v>
      </c>
    </row>
    <row r="728" spans="2:7" ht="18" hidden="1">
      <c r="B728" s="55">
        <v>46038</v>
      </c>
      <c r="C728" s="79">
        <v>-100</v>
      </c>
      <c r="D728" s="14" t="s">
        <v>147</v>
      </c>
      <c r="E728" s="5" t="s">
        <v>118</v>
      </c>
      <c r="F728" s="5" t="s">
        <v>53</v>
      </c>
      <c r="G728" s="5" t="s">
        <v>56</v>
      </c>
    </row>
    <row r="729" spans="2:7" ht="18" hidden="1">
      <c r="B729" s="55">
        <v>46038</v>
      </c>
      <c r="C729" s="79">
        <v>-764.19100000000003</v>
      </c>
      <c r="D729" s="14" t="s">
        <v>149</v>
      </c>
      <c r="E729" s="5" t="s">
        <v>118</v>
      </c>
      <c r="F729" s="5" t="s">
        <v>53</v>
      </c>
      <c r="G729" s="5" t="s">
        <v>56</v>
      </c>
    </row>
    <row r="730" spans="2:7" ht="18" hidden="1">
      <c r="B730" s="55">
        <v>46039</v>
      </c>
      <c r="C730" s="79">
        <v>-1</v>
      </c>
      <c r="D730" s="14" t="s">
        <v>95</v>
      </c>
      <c r="E730" s="5" t="s">
        <v>118</v>
      </c>
      <c r="F730" s="5" t="s">
        <v>38</v>
      </c>
      <c r="G730" s="5" t="s">
        <v>51</v>
      </c>
    </row>
    <row r="731" spans="2:7" ht="18" hidden="1">
      <c r="B731" s="55">
        <v>46039</v>
      </c>
      <c r="C731" s="79">
        <v>-53</v>
      </c>
      <c r="D731" s="14" t="s">
        <v>95</v>
      </c>
      <c r="E731" s="5" t="s">
        <v>118</v>
      </c>
      <c r="F731" s="5" t="s">
        <v>38</v>
      </c>
      <c r="G731" s="5" t="s">
        <v>51</v>
      </c>
    </row>
    <row r="732" spans="2:7" ht="18" hidden="1">
      <c r="B732" s="55">
        <v>46040</v>
      </c>
      <c r="C732" s="79">
        <v>5.2999999999999999E-2</v>
      </c>
      <c r="D732" s="14" t="s">
        <v>147</v>
      </c>
      <c r="E732" s="5" t="s">
        <v>34</v>
      </c>
      <c r="F732" s="5" t="s">
        <v>36</v>
      </c>
      <c r="G732" s="5" t="s">
        <v>42</v>
      </c>
    </row>
    <row r="733" spans="2:7" ht="18" hidden="1">
      <c r="B733" s="55">
        <v>46041</v>
      </c>
      <c r="C733" s="79">
        <v>-3</v>
      </c>
      <c r="D733" s="14" t="s">
        <v>95</v>
      </c>
      <c r="E733" s="5" t="s">
        <v>118</v>
      </c>
      <c r="F733" s="5" t="s">
        <v>38</v>
      </c>
      <c r="G733" s="5" t="s">
        <v>51</v>
      </c>
    </row>
    <row r="734" spans="2:7" ht="18" hidden="1">
      <c r="B734" s="55">
        <v>46041</v>
      </c>
      <c r="C734" s="79">
        <v>-190</v>
      </c>
      <c r="D734" s="14" t="s">
        <v>147</v>
      </c>
      <c r="E734" s="5" t="s">
        <v>118</v>
      </c>
      <c r="F734" s="5" t="s">
        <v>38</v>
      </c>
      <c r="G734" s="5" t="s">
        <v>48</v>
      </c>
    </row>
    <row r="735" spans="2:7" ht="18" hidden="1">
      <c r="B735" s="55">
        <v>46042</v>
      </c>
      <c r="C735" s="79">
        <v>-3</v>
      </c>
      <c r="D735" s="14" t="s">
        <v>95</v>
      </c>
      <c r="E735" s="5" t="s">
        <v>118</v>
      </c>
      <c r="F735" s="5" t="s">
        <v>38</v>
      </c>
      <c r="G735" s="5" t="s">
        <v>51</v>
      </c>
    </row>
    <row r="736" spans="2:7" ht="18" hidden="1">
      <c r="B736" s="55">
        <v>46042</v>
      </c>
      <c r="C736" s="79">
        <v>-20</v>
      </c>
      <c r="D736" s="14" t="s">
        <v>147</v>
      </c>
      <c r="E736" s="5" t="s">
        <v>118</v>
      </c>
      <c r="F736" s="5" t="s">
        <v>38</v>
      </c>
      <c r="G736" s="5" t="s">
        <v>50</v>
      </c>
    </row>
    <row r="737" spans="2:7" ht="18" hidden="1">
      <c r="B737" s="55">
        <v>46045</v>
      </c>
      <c r="C737" s="79">
        <v>-20</v>
      </c>
      <c r="D737" s="14" t="s">
        <v>95</v>
      </c>
      <c r="E737" s="5" t="s">
        <v>118</v>
      </c>
      <c r="F737" s="5" t="s">
        <v>53</v>
      </c>
      <c r="G737" s="5" t="s">
        <v>56</v>
      </c>
    </row>
    <row r="738" spans="2:7" ht="18" hidden="1">
      <c r="B738" s="55">
        <v>46046</v>
      </c>
      <c r="C738" s="79">
        <v>-20</v>
      </c>
      <c r="D738" s="14" t="s">
        <v>95</v>
      </c>
      <c r="E738" s="5" t="s">
        <v>118</v>
      </c>
      <c r="F738" s="5" t="s">
        <v>38</v>
      </c>
      <c r="G738" s="5" t="s">
        <v>50</v>
      </c>
    </row>
    <row r="739" spans="2:7" ht="18" hidden="1">
      <c r="B739" s="55">
        <v>46046</v>
      </c>
      <c r="C739" s="79">
        <v>-2</v>
      </c>
      <c r="D739" s="14" t="s">
        <v>95</v>
      </c>
      <c r="E739" s="5" t="s">
        <v>118</v>
      </c>
      <c r="F739" s="5" t="s">
        <v>38</v>
      </c>
      <c r="G739" s="5" t="s">
        <v>51</v>
      </c>
    </row>
    <row r="740" spans="2:7" ht="18" hidden="1">
      <c r="B740" s="55">
        <v>46046</v>
      </c>
      <c r="C740" s="79">
        <v>-20</v>
      </c>
      <c r="D740" s="14" t="s">
        <v>95</v>
      </c>
      <c r="E740" s="5" t="s">
        <v>118</v>
      </c>
      <c r="F740" s="5" t="s">
        <v>53</v>
      </c>
      <c r="G740" s="5" t="s">
        <v>55</v>
      </c>
    </row>
    <row r="741" spans="2:7" ht="18" hidden="1">
      <c r="B741" s="55">
        <v>46046</v>
      </c>
      <c r="C741" s="79">
        <v>-150</v>
      </c>
      <c r="D741" s="14" t="s">
        <v>148</v>
      </c>
      <c r="E741" s="5" t="s">
        <v>118</v>
      </c>
      <c r="F741" s="5" t="s">
        <v>53</v>
      </c>
      <c r="G741" s="5" t="s">
        <v>56</v>
      </c>
    </row>
    <row r="742" spans="2:7" ht="18" hidden="1">
      <c r="B742" s="55">
        <v>46046</v>
      </c>
      <c r="C742" s="79">
        <v>-200</v>
      </c>
      <c r="D742" s="14" t="s">
        <v>147</v>
      </c>
      <c r="E742" s="5" t="s">
        <v>118</v>
      </c>
      <c r="F742" s="5" t="s">
        <v>53</v>
      </c>
      <c r="G742" s="5" t="s">
        <v>55</v>
      </c>
    </row>
    <row r="743" spans="2:7" ht="18" hidden="1">
      <c r="B743" s="55">
        <v>46047</v>
      </c>
      <c r="C743" s="79">
        <v>-40</v>
      </c>
      <c r="D743" s="14" t="s">
        <v>147</v>
      </c>
      <c r="E743" s="5" t="s">
        <v>118</v>
      </c>
      <c r="F743" s="5" t="s">
        <v>53</v>
      </c>
      <c r="G743" s="5" t="s">
        <v>56</v>
      </c>
    </row>
    <row r="744" spans="2:7" ht="18" hidden="1">
      <c r="B744" s="55">
        <v>46046</v>
      </c>
      <c r="C744" s="79">
        <v>-48</v>
      </c>
      <c r="D744" s="14" t="s">
        <v>147</v>
      </c>
      <c r="E744" s="5" t="s">
        <v>118</v>
      </c>
      <c r="F744" s="5" t="s">
        <v>38</v>
      </c>
      <c r="G744" s="5" t="s">
        <v>51</v>
      </c>
    </row>
    <row r="745" spans="2:7" ht="18" hidden="1">
      <c r="B745" s="55">
        <v>46048</v>
      </c>
      <c r="C745" s="79">
        <v>-12</v>
      </c>
      <c r="D745" s="14" t="s">
        <v>95</v>
      </c>
      <c r="E745" s="5" t="s">
        <v>118</v>
      </c>
      <c r="F745" s="5" t="s">
        <v>38</v>
      </c>
      <c r="G745" s="5" t="s">
        <v>50</v>
      </c>
    </row>
    <row r="746" spans="2:7" ht="18" hidden="1">
      <c r="B746" s="55">
        <v>46048</v>
      </c>
      <c r="C746" s="79">
        <v>4.0000000000000001E-3</v>
      </c>
      <c r="D746" s="14" t="s">
        <v>148</v>
      </c>
      <c r="E746" s="5" t="s">
        <v>34</v>
      </c>
      <c r="F746" s="5" t="s">
        <v>36</v>
      </c>
      <c r="G746" s="5" t="s">
        <v>42</v>
      </c>
    </row>
    <row r="747" spans="2:7" ht="18" hidden="1">
      <c r="B747" s="55">
        <v>46049</v>
      </c>
      <c r="C747" s="79">
        <v>-15</v>
      </c>
      <c r="D747" s="14" t="s">
        <v>147</v>
      </c>
      <c r="E747" s="5" t="s">
        <v>118</v>
      </c>
      <c r="F747" s="5" t="s">
        <v>38</v>
      </c>
      <c r="G747" s="5" t="s">
        <v>50</v>
      </c>
    </row>
    <row r="748" spans="2:7" ht="18" hidden="1">
      <c r="B748" s="55">
        <v>46049</v>
      </c>
      <c r="C748" s="79">
        <v>-3</v>
      </c>
      <c r="D748" s="14" t="s">
        <v>95</v>
      </c>
      <c r="E748" s="5" t="s">
        <v>118</v>
      </c>
      <c r="F748" s="5" t="s">
        <v>38</v>
      </c>
      <c r="G748" s="5" t="s">
        <v>51</v>
      </c>
    </row>
    <row r="749" spans="2:7" ht="18" hidden="1">
      <c r="B749" s="55">
        <v>46050</v>
      </c>
      <c r="C749" s="79">
        <v>-30</v>
      </c>
      <c r="D749" s="14" t="s">
        <v>147</v>
      </c>
      <c r="E749" s="5" t="s">
        <v>118</v>
      </c>
      <c r="F749" s="5" t="s">
        <v>38</v>
      </c>
      <c r="G749" s="5" t="s">
        <v>50</v>
      </c>
    </row>
    <row r="750" spans="2:7" ht="18" hidden="1">
      <c r="B750" s="55">
        <v>46050</v>
      </c>
      <c r="C750" s="79">
        <v>-5</v>
      </c>
      <c r="D750" s="14" t="s">
        <v>95</v>
      </c>
      <c r="E750" s="5" t="s">
        <v>118</v>
      </c>
      <c r="F750" s="5" t="s">
        <v>38</v>
      </c>
      <c r="G750" s="5" t="s">
        <v>48</v>
      </c>
    </row>
    <row r="751" spans="2:7" ht="18" hidden="1">
      <c r="B751" s="55">
        <v>46051</v>
      </c>
      <c r="C751" s="79">
        <v>-20</v>
      </c>
      <c r="D751" s="14" t="s">
        <v>95</v>
      </c>
      <c r="E751" s="5" t="s">
        <v>118</v>
      </c>
      <c r="F751" s="5" t="s">
        <v>38</v>
      </c>
      <c r="G751" s="5" t="s">
        <v>50</v>
      </c>
    </row>
    <row r="752" spans="2:7" ht="18" hidden="1">
      <c r="B752" s="55">
        <v>46051</v>
      </c>
      <c r="C752" s="79">
        <v>320</v>
      </c>
      <c r="D752" s="14" t="s">
        <v>147</v>
      </c>
      <c r="E752" s="5" t="s">
        <v>34</v>
      </c>
      <c r="F752" s="5" t="s">
        <v>36</v>
      </c>
      <c r="G752" s="5" t="s">
        <v>42</v>
      </c>
    </row>
    <row r="753" spans="2:7" ht="18" hidden="1">
      <c r="B753" s="55">
        <v>46051</v>
      </c>
      <c r="C753" s="79">
        <v>-10</v>
      </c>
      <c r="D753" s="14" t="s">
        <v>147</v>
      </c>
      <c r="E753" s="5" t="s">
        <v>118</v>
      </c>
      <c r="F753" s="5" t="s">
        <v>53</v>
      </c>
      <c r="G753" s="5" t="s">
        <v>55</v>
      </c>
    </row>
    <row r="754" spans="2:7" ht="18" hidden="1">
      <c r="B754" s="55">
        <v>46051</v>
      </c>
      <c r="C754" s="79">
        <v>-35</v>
      </c>
      <c r="D754" s="14" t="s">
        <v>147</v>
      </c>
      <c r="E754" s="5" t="s">
        <v>118</v>
      </c>
      <c r="F754" s="5" t="s">
        <v>38</v>
      </c>
      <c r="G754" s="5" t="s">
        <v>50</v>
      </c>
    </row>
    <row r="755" spans="2:7" ht="18" hidden="1">
      <c r="B755" s="55">
        <v>46051</v>
      </c>
      <c r="C755" s="79">
        <v>-11</v>
      </c>
      <c r="D755" s="14" t="s">
        <v>147</v>
      </c>
      <c r="E755" s="5" t="s">
        <v>118</v>
      </c>
      <c r="F755" s="5" t="s">
        <v>53</v>
      </c>
      <c r="G755" s="5" t="s">
        <v>55</v>
      </c>
    </row>
    <row r="756" spans="2:7" ht="18" hidden="1">
      <c r="B756" s="55">
        <v>46051</v>
      </c>
      <c r="C756" s="79">
        <v>-20</v>
      </c>
      <c r="D756" s="14" t="s">
        <v>147</v>
      </c>
      <c r="E756" s="5" t="s">
        <v>118</v>
      </c>
      <c r="F756" s="5" t="s">
        <v>53</v>
      </c>
      <c r="G756" s="5" t="s">
        <v>56</v>
      </c>
    </row>
    <row r="757" spans="2:7" ht="18" hidden="1">
      <c r="B757" s="55">
        <v>46051</v>
      </c>
      <c r="C757" s="79">
        <v>300</v>
      </c>
      <c r="D757" s="14" t="s">
        <v>147</v>
      </c>
      <c r="E757" s="5" t="s">
        <v>34</v>
      </c>
      <c r="F757" s="5" t="s">
        <v>36</v>
      </c>
      <c r="G757" s="5" t="s">
        <v>42</v>
      </c>
    </row>
    <row r="758" spans="2:7" ht="18" hidden="1">
      <c r="B758" s="55">
        <v>46052</v>
      </c>
      <c r="C758" s="79">
        <v>-50</v>
      </c>
      <c r="D758" s="14" t="s">
        <v>147</v>
      </c>
      <c r="E758" s="5" t="s">
        <v>118</v>
      </c>
      <c r="F758" s="5" t="s">
        <v>38</v>
      </c>
      <c r="G758" s="5" t="s">
        <v>51</v>
      </c>
    </row>
    <row r="759" spans="2:7" ht="18" hidden="1">
      <c r="B759" s="55">
        <v>46053</v>
      </c>
      <c r="C759" s="79">
        <v>-35.231000000000002</v>
      </c>
      <c r="D759" s="14" t="s">
        <v>147</v>
      </c>
      <c r="E759" s="5" t="s">
        <v>118</v>
      </c>
      <c r="F759" s="5" t="s">
        <v>53</v>
      </c>
      <c r="G759" s="5" t="s">
        <v>56</v>
      </c>
    </row>
    <row r="760" spans="2:7" ht="18" hidden="1">
      <c r="B760" s="55">
        <v>46053</v>
      </c>
      <c r="C760" s="79">
        <v>-35</v>
      </c>
      <c r="D760" s="14" t="s">
        <v>147</v>
      </c>
      <c r="E760" s="5" t="s">
        <v>118</v>
      </c>
      <c r="F760" s="5" t="s">
        <v>53</v>
      </c>
      <c r="G760" s="5" t="s">
        <v>56</v>
      </c>
    </row>
    <row r="761" spans="2:7" ht="18" hidden="1">
      <c r="B761" s="55">
        <v>46053</v>
      </c>
      <c r="C761" s="79">
        <v>-71</v>
      </c>
      <c r="D761" s="14" t="s">
        <v>147</v>
      </c>
      <c r="E761" s="5" t="s">
        <v>118</v>
      </c>
      <c r="F761" s="5" t="s">
        <v>53</v>
      </c>
      <c r="G761" s="5" t="s">
        <v>55</v>
      </c>
    </row>
    <row r="762" spans="2:7" ht="18" hidden="1">
      <c r="B762" s="55">
        <v>46053</v>
      </c>
      <c r="C762" s="79">
        <v>-71</v>
      </c>
      <c r="D762" s="14" t="s">
        <v>147</v>
      </c>
      <c r="E762" s="5" t="s">
        <v>118</v>
      </c>
      <c r="F762" s="5" t="s">
        <v>53</v>
      </c>
      <c r="G762" s="5" t="s">
        <v>55</v>
      </c>
    </row>
    <row r="763" spans="2:7" ht="18" hidden="1">
      <c r="B763" s="55">
        <v>46053</v>
      </c>
      <c r="C763" s="79">
        <v>-20</v>
      </c>
      <c r="D763" s="14" t="s">
        <v>147</v>
      </c>
      <c r="E763" s="5" t="s">
        <v>118</v>
      </c>
      <c r="F763" s="5" t="s">
        <v>53</v>
      </c>
      <c r="G763" s="5" t="s">
        <v>56</v>
      </c>
    </row>
    <row r="764" spans="2:7" ht="18" hidden="1">
      <c r="B764" s="55">
        <v>46053</v>
      </c>
      <c r="C764" s="79">
        <v>-3</v>
      </c>
      <c r="D764" s="14" t="s">
        <v>147</v>
      </c>
      <c r="E764" s="5" t="s">
        <v>118</v>
      </c>
      <c r="F764" s="5" t="s">
        <v>53</v>
      </c>
      <c r="G764" s="5" t="s">
        <v>56</v>
      </c>
    </row>
    <row r="765" spans="2:7" ht="18" hidden="1">
      <c r="B765" s="55">
        <v>46053</v>
      </c>
      <c r="C765" s="79">
        <v>-7</v>
      </c>
      <c r="D765" s="14" t="s">
        <v>147</v>
      </c>
      <c r="E765" s="5" t="s">
        <v>118</v>
      </c>
      <c r="F765" s="5" t="s">
        <v>53</v>
      </c>
      <c r="G765" s="5" t="s">
        <v>56</v>
      </c>
    </row>
    <row r="766" spans="2:7" ht="18" hidden="1">
      <c r="B766" s="55">
        <v>46053</v>
      </c>
      <c r="C766" s="79">
        <v>-50</v>
      </c>
      <c r="D766" s="14" t="s">
        <v>147</v>
      </c>
      <c r="E766" s="5" t="s">
        <v>118</v>
      </c>
      <c r="F766" s="5" t="s">
        <v>53</v>
      </c>
      <c r="G766" s="5" t="s">
        <v>56</v>
      </c>
    </row>
    <row r="767" spans="2:7" ht="18" hidden="1">
      <c r="B767" s="55">
        <v>46053</v>
      </c>
      <c r="C767" s="79">
        <v>-3</v>
      </c>
      <c r="D767" s="14" t="s">
        <v>95</v>
      </c>
      <c r="E767" s="5" t="s">
        <v>118</v>
      </c>
      <c r="F767" s="5" t="s">
        <v>38</v>
      </c>
      <c r="G767" s="5" t="s">
        <v>51</v>
      </c>
    </row>
    <row r="768" spans="2:7" ht="18" hidden="1">
      <c r="B768" s="55">
        <v>46054</v>
      </c>
      <c r="C768" s="79">
        <v>1000</v>
      </c>
      <c r="D768" s="14" t="s">
        <v>147</v>
      </c>
      <c r="E768" s="5" t="s">
        <v>34</v>
      </c>
      <c r="F768" s="5" t="s">
        <v>35</v>
      </c>
      <c r="G768" s="5" t="s">
        <v>39</v>
      </c>
    </row>
    <row r="769" spans="2:7" ht="18" hidden="1">
      <c r="B769" s="55">
        <v>46055</v>
      </c>
      <c r="C769" s="79">
        <v>190.53</v>
      </c>
      <c r="D769" s="14" t="s">
        <v>147</v>
      </c>
      <c r="E769" s="5" t="s">
        <v>34</v>
      </c>
      <c r="F769" s="5" t="s">
        <v>36</v>
      </c>
      <c r="G769" s="5" t="s">
        <v>42</v>
      </c>
    </row>
    <row r="770" spans="2:7" ht="18" hidden="1">
      <c r="B770" s="55">
        <v>46055</v>
      </c>
      <c r="C770" s="79">
        <v>-102</v>
      </c>
      <c r="D770" s="14" t="s">
        <v>147</v>
      </c>
      <c r="E770" s="5" t="s">
        <v>118</v>
      </c>
      <c r="F770" s="5" t="s">
        <v>53</v>
      </c>
      <c r="G770" s="5" t="s">
        <v>55</v>
      </c>
    </row>
    <row r="771" spans="2:7" ht="18" hidden="1">
      <c r="B771" s="55">
        <v>46055</v>
      </c>
      <c r="C771" s="79">
        <v>-139.636</v>
      </c>
      <c r="D771" s="14" t="s">
        <v>147</v>
      </c>
      <c r="E771" s="5" t="s">
        <v>118</v>
      </c>
      <c r="F771" s="5" t="s">
        <v>38</v>
      </c>
      <c r="G771" s="5" t="s">
        <v>48</v>
      </c>
    </row>
    <row r="772" spans="2:7" ht="18" hidden="1">
      <c r="B772" s="55">
        <v>46055</v>
      </c>
      <c r="C772" s="79">
        <v>-190</v>
      </c>
      <c r="D772" s="14" t="s">
        <v>147</v>
      </c>
      <c r="E772" s="5" t="s">
        <v>118</v>
      </c>
      <c r="F772" s="5" t="s">
        <v>38</v>
      </c>
      <c r="G772" s="5" t="s">
        <v>48</v>
      </c>
    </row>
    <row r="773" spans="2:7" ht="18" hidden="1">
      <c r="B773" s="55">
        <v>46055</v>
      </c>
      <c r="C773" s="79">
        <v>177</v>
      </c>
      <c r="D773" s="14" t="s">
        <v>147</v>
      </c>
      <c r="E773" s="5" t="s">
        <v>118</v>
      </c>
      <c r="F773" s="5" t="s">
        <v>38</v>
      </c>
      <c r="G773" s="5" t="s">
        <v>48</v>
      </c>
    </row>
    <row r="774" spans="2:7" ht="18" hidden="1">
      <c r="B774" s="55">
        <v>46055</v>
      </c>
      <c r="C774" s="79">
        <v>-177</v>
      </c>
      <c r="D774" s="14" t="s">
        <v>147</v>
      </c>
      <c r="E774" s="5" t="s">
        <v>118</v>
      </c>
      <c r="F774" s="5" t="s">
        <v>38</v>
      </c>
      <c r="G774" s="5" t="s">
        <v>48</v>
      </c>
    </row>
    <row r="775" spans="2:7" ht="18" hidden="1">
      <c r="B775" s="55">
        <v>46055</v>
      </c>
      <c r="C775" s="79">
        <v>159</v>
      </c>
      <c r="D775" s="14" t="s">
        <v>147</v>
      </c>
      <c r="E775" s="5" t="s">
        <v>118</v>
      </c>
      <c r="F775" s="5" t="s">
        <v>38</v>
      </c>
      <c r="G775" s="5" t="s">
        <v>48</v>
      </c>
    </row>
    <row r="776" spans="2:7" ht="18" hidden="1">
      <c r="B776" s="55">
        <v>46056</v>
      </c>
      <c r="C776" s="79">
        <v>-20</v>
      </c>
      <c r="D776" s="14" t="s">
        <v>147</v>
      </c>
      <c r="E776" s="5" t="s">
        <v>118</v>
      </c>
      <c r="F776" s="5" t="s">
        <v>38</v>
      </c>
      <c r="G776" s="5" t="s">
        <v>50</v>
      </c>
    </row>
    <row r="777" spans="2:7" ht="18" hidden="1">
      <c r="B777" s="55">
        <v>46056</v>
      </c>
      <c r="C777" s="79">
        <v>-50</v>
      </c>
      <c r="D777" s="14" t="s">
        <v>147</v>
      </c>
      <c r="E777" s="5" t="s">
        <v>118</v>
      </c>
      <c r="F777" s="5" t="s">
        <v>38</v>
      </c>
      <c r="G777" s="5" t="s">
        <v>50</v>
      </c>
    </row>
    <row r="778" spans="2:7" ht="18" hidden="1">
      <c r="B778" s="55">
        <v>46056</v>
      </c>
      <c r="C778" s="79">
        <v>-6</v>
      </c>
      <c r="D778" s="14" t="s">
        <v>147</v>
      </c>
      <c r="E778" s="5" t="s">
        <v>118</v>
      </c>
      <c r="F778" s="5" t="s">
        <v>38</v>
      </c>
      <c r="G778" s="5" t="s">
        <v>51</v>
      </c>
    </row>
    <row r="779" spans="2:7" ht="18" hidden="1">
      <c r="B779" s="55">
        <v>46057</v>
      </c>
      <c r="C779" s="79">
        <v>-35</v>
      </c>
      <c r="D779" s="14" t="s">
        <v>147</v>
      </c>
      <c r="E779" s="5" t="s">
        <v>118</v>
      </c>
      <c r="F779" s="5" t="s">
        <v>53</v>
      </c>
      <c r="G779" s="5" t="s">
        <v>56</v>
      </c>
    </row>
    <row r="780" spans="2:7" ht="18" hidden="1">
      <c r="B780" s="55">
        <v>46057</v>
      </c>
      <c r="C780" s="79">
        <v>-55</v>
      </c>
      <c r="D780" s="14" t="s">
        <v>147</v>
      </c>
      <c r="E780" s="5" t="s">
        <v>118</v>
      </c>
      <c r="F780" s="5" t="s">
        <v>53</v>
      </c>
      <c r="G780" s="5" t="s">
        <v>55</v>
      </c>
    </row>
    <row r="781" spans="2:7" ht="18" hidden="1">
      <c r="B781" s="55">
        <v>46057</v>
      </c>
      <c r="C781" s="79">
        <v>-2</v>
      </c>
      <c r="D781" s="14" t="s">
        <v>95</v>
      </c>
      <c r="E781" s="5" t="s">
        <v>118</v>
      </c>
      <c r="F781" s="5" t="s">
        <v>38</v>
      </c>
      <c r="G781" s="5" t="s">
        <v>51</v>
      </c>
    </row>
    <row r="782" spans="2:7" ht="18" hidden="1">
      <c r="B782" s="55">
        <v>46057</v>
      </c>
      <c r="C782" s="79">
        <v>-14</v>
      </c>
      <c r="D782" s="14" t="s">
        <v>147</v>
      </c>
      <c r="E782" s="5" t="s">
        <v>118</v>
      </c>
      <c r="F782" s="5" t="s">
        <v>53</v>
      </c>
      <c r="G782" s="5" t="s">
        <v>56</v>
      </c>
    </row>
    <row r="783" spans="2:7" ht="18" hidden="1">
      <c r="B783" s="55">
        <v>46057</v>
      </c>
      <c r="C783" s="79">
        <v>100</v>
      </c>
      <c r="D783" s="14" t="s">
        <v>147</v>
      </c>
      <c r="E783" s="5" t="s">
        <v>34</v>
      </c>
      <c r="F783" s="5" t="s">
        <v>35</v>
      </c>
      <c r="G783" s="5" t="s">
        <v>41</v>
      </c>
    </row>
    <row r="784" spans="2:7" ht="18" hidden="1">
      <c r="B784" s="55">
        <v>46061</v>
      </c>
      <c r="C784" s="79">
        <v>-8</v>
      </c>
      <c r="D784" s="14" t="s">
        <v>95</v>
      </c>
      <c r="E784" s="5" t="s">
        <v>118</v>
      </c>
      <c r="F784" s="5" t="s">
        <v>38</v>
      </c>
      <c r="G784" s="5" t="s">
        <v>51</v>
      </c>
    </row>
    <row r="785" spans="2:7" ht="18" hidden="1">
      <c r="B785" s="55">
        <v>46061</v>
      </c>
      <c r="C785" s="79">
        <v>-7</v>
      </c>
      <c r="D785" s="14" t="s">
        <v>147</v>
      </c>
      <c r="E785" s="5" t="s">
        <v>118</v>
      </c>
      <c r="F785" s="5" t="s">
        <v>53</v>
      </c>
      <c r="G785" s="5" t="s">
        <v>56</v>
      </c>
    </row>
    <row r="786" spans="2:7" ht="18" hidden="1">
      <c r="B786" s="55">
        <v>46061</v>
      </c>
      <c r="C786" s="79">
        <v>-18</v>
      </c>
      <c r="D786" s="14" t="s">
        <v>147</v>
      </c>
      <c r="E786" s="5" t="s">
        <v>118</v>
      </c>
      <c r="F786" s="5" t="s">
        <v>53</v>
      </c>
      <c r="G786" s="5" t="s">
        <v>55</v>
      </c>
    </row>
    <row r="787" spans="2:7" ht="18" hidden="1">
      <c r="B787" s="55">
        <v>46062</v>
      </c>
      <c r="C787" s="79">
        <v>-55</v>
      </c>
      <c r="D787" s="14" t="s">
        <v>147</v>
      </c>
      <c r="E787" s="5" t="s">
        <v>118</v>
      </c>
      <c r="F787" s="5" t="s">
        <v>38</v>
      </c>
      <c r="G787" s="5" t="s">
        <v>50</v>
      </c>
    </row>
    <row r="788" spans="2:7" ht="18" hidden="1">
      <c r="B788" s="55">
        <v>46062</v>
      </c>
      <c r="C788" s="79">
        <v>-30</v>
      </c>
      <c r="D788" s="14" t="s">
        <v>147</v>
      </c>
      <c r="E788" s="5" t="s">
        <v>118</v>
      </c>
      <c r="F788" s="5" t="s">
        <v>53</v>
      </c>
      <c r="G788" s="5" t="s">
        <v>55</v>
      </c>
    </row>
    <row r="789" spans="2:7" ht="18" hidden="1">
      <c r="B789" s="55">
        <v>46062</v>
      </c>
      <c r="C789" s="79">
        <v>-20</v>
      </c>
      <c r="D789" s="14" t="s">
        <v>147</v>
      </c>
      <c r="E789" s="5" t="s">
        <v>118</v>
      </c>
      <c r="F789" s="5" t="s">
        <v>38</v>
      </c>
      <c r="G789" s="5" t="s">
        <v>50</v>
      </c>
    </row>
    <row r="790" spans="2:7" ht="18" hidden="1">
      <c r="B790" s="55">
        <v>46062</v>
      </c>
      <c r="C790" s="79">
        <v>1000</v>
      </c>
      <c r="D790" s="14" t="s">
        <v>147</v>
      </c>
      <c r="E790" s="5" t="s">
        <v>34</v>
      </c>
      <c r="F790" s="5" t="s">
        <v>35</v>
      </c>
      <c r="G790" s="5" t="s">
        <v>39</v>
      </c>
    </row>
    <row r="791" spans="2:7" ht="18" hidden="1">
      <c r="B791" s="55">
        <v>46062</v>
      </c>
      <c r="C791" s="79">
        <v>-300</v>
      </c>
      <c r="D791" s="14" t="s">
        <v>147</v>
      </c>
      <c r="E791" s="5" t="s">
        <v>118</v>
      </c>
      <c r="F791" s="5" t="s">
        <v>38</v>
      </c>
      <c r="G791" s="5" t="s">
        <v>51</v>
      </c>
    </row>
    <row r="792" spans="2:7" ht="18" hidden="1">
      <c r="B792" s="55">
        <v>46063</v>
      </c>
      <c r="C792" s="79">
        <v>-40</v>
      </c>
      <c r="D792" s="14" t="s">
        <v>147</v>
      </c>
      <c r="E792" s="5" t="s">
        <v>118</v>
      </c>
      <c r="F792" s="5" t="s">
        <v>38</v>
      </c>
      <c r="G792" s="5" t="s">
        <v>50</v>
      </c>
    </row>
    <row r="793" spans="2:7" ht="18" hidden="1">
      <c r="B793" s="55">
        <v>46062</v>
      </c>
      <c r="C793" s="79">
        <v>-1976</v>
      </c>
      <c r="D793" s="14" t="s">
        <v>149</v>
      </c>
      <c r="E793" s="5" t="s">
        <v>118</v>
      </c>
      <c r="F793" s="5" t="s">
        <v>38</v>
      </c>
      <c r="G793" s="5" t="s">
        <v>51</v>
      </c>
    </row>
    <row r="794" spans="2:7" ht="18" hidden="1">
      <c r="B794" s="55">
        <v>46062</v>
      </c>
      <c r="C794" s="79">
        <v>-697.34</v>
      </c>
      <c r="D794" s="14" t="s">
        <v>149</v>
      </c>
      <c r="E794" s="5" t="s">
        <v>118</v>
      </c>
      <c r="F794" s="5" t="s">
        <v>38</v>
      </c>
      <c r="G794" s="5" t="s">
        <v>51</v>
      </c>
    </row>
    <row r="795" spans="2:7" ht="18" hidden="1">
      <c r="B795" s="55">
        <v>46065</v>
      </c>
      <c r="C795" s="79">
        <v>2500</v>
      </c>
      <c r="D795" s="14" t="s">
        <v>147</v>
      </c>
      <c r="E795" s="5" t="s">
        <v>34</v>
      </c>
      <c r="F795" s="5" t="s">
        <v>35</v>
      </c>
      <c r="G795" s="5" t="s">
        <v>39</v>
      </c>
    </row>
    <row r="796" spans="2:7" ht="18" hidden="1">
      <c r="B796" s="55">
        <v>46065</v>
      </c>
      <c r="C796" s="79">
        <v>-50</v>
      </c>
      <c r="D796" s="14" t="s">
        <v>147</v>
      </c>
      <c r="E796" s="5" t="s">
        <v>118</v>
      </c>
      <c r="F796" s="5" t="s">
        <v>38</v>
      </c>
      <c r="G796" s="5" t="s">
        <v>50</v>
      </c>
    </row>
    <row r="797" spans="2:7" ht="18" hidden="1">
      <c r="B797" s="55">
        <v>46065</v>
      </c>
      <c r="C797" s="79">
        <v>-60</v>
      </c>
      <c r="D797" s="14" t="s">
        <v>147</v>
      </c>
      <c r="E797" s="5" t="s">
        <v>118</v>
      </c>
      <c r="F797" s="5" t="s">
        <v>53</v>
      </c>
      <c r="G797" s="5" t="s">
        <v>56</v>
      </c>
    </row>
    <row r="798" spans="2:7" ht="18" hidden="1">
      <c r="B798" s="55">
        <v>46065</v>
      </c>
      <c r="C798" s="79">
        <v>-189</v>
      </c>
      <c r="D798" s="14" t="s">
        <v>147</v>
      </c>
      <c r="E798" s="5" t="s">
        <v>118</v>
      </c>
      <c r="F798" s="5" t="s">
        <v>53</v>
      </c>
      <c r="G798" s="5" t="s">
        <v>55</v>
      </c>
    </row>
    <row r="799" spans="2:7" ht="18" hidden="1">
      <c r="B799" s="55">
        <v>46065</v>
      </c>
      <c r="C799" s="79">
        <v>-129</v>
      </c>
      <c r="D799" s="14" t="s">
        <v>147</v>
      </c>
      <c r="E799" s="5" t="s">
        <v>118</v>
      </c>
      <c r="F799" s="5" t="s">
        <v>53</v>
      </c>
      <c r="G799" s="5" t="s">
        <v>56</v>
      </c>
    </row>
    <row r="800" spans="2:7" ht="18" hidden="1">
      <c r="B800" s="55">
        <v>46066</v>
      </c>
      <c r="C800" s="79">
        <v>-54</v>
      </c>
      <c r="D800" s="14" t="s">
        <v>147</v>
      </c>
      <c r="E800" s="5" t="s">
        <v>118</v>
      </c>
      <c r="F800" s="5" t="s">
        <v>38</v>
      </c>
      <c r="G800" s="5" t="s">
        <v>50</v>
      </c>
    </row>
    <row r="801" spans="2:7" ht="18" hidden="1">
      <c r="B801" s="55">
        <v>46066</v>
      </c>
      <c r="C801" s="79">
        <v>-45</v>
      </c>
      <c r="D801" s="14" t="s">
        <v>147</v>
      </c>
      <c r="E801" s="5" t="s">
        <v>118</v>
      </c>
      <c r="F801" s="5" t="s">
        <v>53</v>
      </c>
      <c r="G801" s="5" t="s">
        <v>56</v>
      </c>
    </row>
    <row r="802" spans="2:7" ht="18" hidden="1">
      <c r="B802" s="55">
        <v>46066</v>
      </c>
      <c r="C802" s="79">
        <v>-45</v>
      </c>
      <c r="D802" s="14" t="s">
        <v>147</v>
      </c>
      <c r="E802" s="5" t="s">
        <v>118</v>
      </c>
      <c r="F802" s="5" t="s">
        <v>53</v>
      </c>
      <c r="G802" s="5" t="s">
        <v>55</v>
      </c>
    </row>
    <row r="803" spans="2:7" ht="18" hidden="1">
      <c r="B803" s="55">
        <v>46066</v>
      </c>
      <c r="C803" s="79">
        <v>-20</v>
      </c>
      <c r="D803" s="14" t="s">
        <v>147</v>
      </c>
      <c r="E803" s="5" t="s">
        <v>118</v>
      </c>
      <c r="F803" s="5" t="s">
        <v>53</v>
      </c>
      <c r="G803" s="5" t="s">
        <v>56</v>
      </c>
    </row>
    <row r="804" spans="2:7" ht="18" hidden="1">
      <c r="B804" s="55">
        <v>46067</v>
      </c>
      <c r="C804" s="79">
        <v>-32</v>
      </c>
      <c r="D804" s="14" t="s">
        <v>147</v>
      </c>
      <c r="E804" s="5" t="s">
        <v>118</v>
      </c>
      <c r="F804" s="5" t="s">
        <v>53</v>
      </c>
      <c r="G804" s="5" t="s">
        <v>56</v>
      </c>
    </row>
    <row r="805" spans="2:7" ht="18" hidden="1">
      <c r="B805" s="55">
        <v>46067</v>
      </c>
      <c r="C805" s="79">
        <v>50</v>
      </c>
      <c r="D805" s="14" t="s">
        <v>147</v>
      </c>
      <c r="E805" s="5" t="s">
        <v>34</v>
      </c>
      <c r="F805" s="5" t="s">
        <v>35</v>
      </c>
      <c r="G805" s="5" t="s">
        <v>41</v>
      </c>
    </row>
    <row r="806" spans="2:7" ht="18" hidden="1">
      <c r="B806" s="55">
        <v>46067</v>
      </c>
      <c r="C806" s="79">
        <v>-40</v>
      </c>
      <c r="D806" s="14" t="s">
        <v>147</v>
      </c>
      <c r="E806" s="5" t="s">
        <v>118</v>
      </c>
      <c r="F806" s="5" t="s">
        <v>53</v>
      </c>
      <c r="G806" s="5" t="s">
        <v>56</v>
      </c>
    </row>
    <row r="807" spans="2:7" ht="18" hidden="1">
      <c r="B807" s="55">
        <v>46068</v>
      </c>
      <c r="C807" s="79">
        <v>-34</v>
      </c>
      <c r="D807" s="14" t="s">
        <v>147</v>
      </c>
      <c r="E807" s="5" t="s">
        <v>118</v>
      </c>
      <c r="F807" s="5" t="s">
        <v>53</v>
      </c>
      <c r="G807" s="5" t="s">
        <v>56</v>
      </c>
    </row>
    <row r="808" spans="2:7" ht="18" hidden="1">
      <c r="B808" s="55">
        <v>46068</v>
      </c>
      <c r="C808" s="79">
        <v>-25</v>
      </c>
      <c r="D808" s="14" t="s">
        <v>147</v>
      </c>
      <c r="E808" s="5" t="s">
        <v>118</v>
      </c>
      <c r="F808" s="5" t="s">
        <v>38</v>
      </c>
      <c r="G808" s="5" t="s">
        <v>50</v>
      </c>
    </row>
    <row r="809" spans="2:7" ht="18" hidden="1">
      <c r="B809" s="55">
        <v>46068</v>
      </c>
      <c r="C809" s="79">
        <v>-25</v>
      </c>
      <c r="D809" s="14" t="s">
        <v>147</v>
      </c>
      <c r="E809" s="5" t="s">
        <v>118</v>
      </c>
      <c r="F809" s="5" t="s">
        <v>38</v>
      </c>
      <c r="G809" s="5" t="s">
        <v>51</v>
      </c>
    </row>
    <row r="810" spans="2:7" ht="18" hidden="1">
      <c r="B810" s="55">
        <v>46068</v>
      </c>
      <c r="C810" s="79">
        <v>834.298</v>
      </c>
      <c r="D810" s="14" t="s">
        <v>147</v>
      </c>
      <c r="E810" s="5" t="s">
        <v>34</v>
      </c>
      <c r="F810" s="5" t="s">
        <v>36</v>
      </c>
      <c r="G810" s="5" t="s">
        <v>42</v>
      </c>
    </row>
    <row r="811" spans="2:7" ht="18" hidden="1">
      <c r="B811" s="55">
        <v>46069</v>
      </c>
      <c r="C811" s="79">
        <v>-62</v>
      </c>
      <c r="D811" s="14" t="s">
        <v>147</v>
      </c>
      <c r="E811" s="5" t="s">
        <v>118</v>
      </c>
      <c r="F811" s="5" t="s">
        <v>38</v>
      </c>
      <c r="G811" s="5" t="s">
        <v>50</v>
      </c>
    </row>
    <row r="812" spans="2:7" ht="18" hidden="1">
      <c r="B812" s="55">
        <v>46070</v>
      </c>
      <c r="C812" s="79">
        <v>-6.8010000000000002</v>
      </c>
      <c r="D812" s="14" t="s">
        <v>147</v>
      </c>
      <c r="E812" s="5" t="s">
        <v>118</v>
      </c>
      <c r="F812" s="5" t="s">
        <v>53</v>
      </c>
      <c r="G812" s="5" t="s">
        <v>55</v>
      </c>
    </row>
    <row r="813" spans="2:7" ht="18" hidden="1">
      <c r="B813" s="55">
        <v>46070</v>
      </c>
      <c r="C813" s="79">
        <v>2000</v>
      </c>
      <c r="D813" s="14" t="s">
        <v>147</v>
      </c>
      <c r="E813" s="5" t="s">
        <v>34</v>
      </c>
      <c r="F813" s="5" t="s">
        <v>35</v>
      </c>
      <c r="G813" s="5" t="s">
        <v>41</v>
      </c>
    </row>
    <row r="814" spans="2:7" ht="18" hidden="1">
      <c r="B814" s="55">
        <v>46070</v>
      </c>
      <c r="C814" s="79">
        <v>1450</v>
      </c>
      <c r="D814" s="14" t="s">
        <v>95</v>
      </c>
      <c r="E814" s="5" t="s">
        <v>34</v>
      </c>
      <c r="F814" s="5" t="s">
        <v>35</v>
      </c>
      <c r="G814" s="5" t="s">
        <v>41</v>
      </c>
    </row>
    <row r="815" spans="2:7" ht="18" hidden="1">
      <c r="B815" s="55">
        <v>46068</v>
      </c>
      <c r="C815" s="79">
        <v>100</v>
      </c>
      <c r="D815" s="14" t="s">
        <v>95</v>
      </c>
      <c r="E815" s="5" t="s">
        <v>34</v>
      </c>
      <c r="F815" s="5" t="s">
        <v>35</v>
      </c>
      <c r="G815" s="5" t="s">
        <v>41</v>
      </c>
    </row>
    <row r="816" spans="2:7" ht="18" hidden="1">
      <c r="B816" s="55">
        <v>46071</v>
      </c>
      <c r="C816" s="79">
        <v>450</v>
      </c>
      <c r="D816" s="14" t="s">
        <v>95</v>
      </c>
      <c r="E816" s="5" t="s">
        <v>34</v>
      </c>
      <c r="F816" s="5" t="s">
        <v>35</v>
      </c>
      <c r="G816" s="5" t="s">
        <v>41</v>
      </c>
    </row>
    <row r="817" spans="2:7" ht="18" hidden="1">
      <c r="B817" s="55">
        <v>46071</v>
      </c>
      <c r="C817" s="79">
        <v>50</v>
      </c>
      <c r="D817" s="14" t="s">
        <v>95</v>
      </c>
      <c r="E817" s="5" t="s">
        <v>34</v>
      </c>
      <c r="F817" s="5" t="s">
        <v>35</v>
      </c>
      <c r="G817" s="5" t="s">
        <v>41</v>
      </c>
    </row>
    <row r="818" spans="2:7" ht="18" hidden="1">
      <c r="B818" s="55">
        <v>46071</v>
      </c>
      <c r="C818" s="79">
        <v>-30</v>
      </c>
      <c r="D818" s="14" t="s">
        <v>95</v>
      </c>
      <c r="E818" s="5" t="s">
        <v>118</v>
      </c>
      <c r="F818" s="5" t="s">
        <v>38</v>
      </c>
      <c r="G818" s="5" t="s">
        <v>51</v>
      </c>
    </row>
    <row r="819" spans="2:7" ht="18" hidden="1">
      <c r="B819" s="55">
        <v>46072</v>
      </c>
      <c r="C819" s="79">
        <v>500</v>
      </c>
      <c r="D819" s="14" t="s">
        <v>95</v>
      </c>
      <c r="E819" s="5" t="s">
        <v>34</v>
      </c>
      <c r="F819" s="5" t="s">
        <v>35</v>
      </c>
      <c r="G819" s="5" t="s">
        <v>41</v>
      </c>
    </row>
    <row r="820" spans="2:7" ht="18" hidden="1">
      <c r="B820" s="55">
        <v>46072</v>
      </c>
      <c r="C820" s="79">
        <v>-490</v>
      </c>
      <c r="D820" s="14" t="s">
        <v>147</v>
      </c>
      <c r="E820" s="5" t="s">
        <v>118</v>
      </c>
      <c r="F820" s="5" t="s">
        <v>38</v>
      </c>
      <c r="G820" s="5" t="s">
        <v>50</v>
      </c>
    </row>
    <row r="821" spans="2:7" ht="18" hidden="1">
      <c r="B821" s="55">
        <v>46073</v>
      </c>
      <c r="C821" s="79">
        <v>200</v>
      </c>
      <c r="D821" s="14" t="s">
        <v>95</v>
      </c>
      <c r="E821" s="5" t="s">
        <v>34</v>
      </c>
      <c r="F821" s="5" t="s">
        <v>35</v>
      </c>
      <c r="G821" s="5" t="s">
        <v>41</v>
      </c>
    </row>
    <row r="822" spans="2:7" ht="18" hidden="1">
      <c r="B822" s="55">
        <v>46073</v>
      </c>
      <c r="C822" s="79">
        <v>-4</v>
      </c>
      <c r="D822" s="14" t="s">
        <v>95</v>
      </c>
      <c r="E822" s="5" t="s">
        <v>118</v>
      </c>
      <c r="F822" s="5" t="s">
        <v>53</v>
      </c>
      <c r="G822" s="5" t="s">
        <v>56</v>
      </c>
    </row>
    <row r="823" spans="2:7" ht="18" hidden="1">
      <c r="B823" s="55">
        <v>46074</v>
      </c>
      <c r="C823" s="79">
        <v>-54.703000000000003</v>
      </c>
      <c r="D823" s="14" t="s">
        <v>147</v>
      </c>
      <c r="E823" s="5" t="s">
        <v>118</v>
      </c>
      <c r="F823" s="5" t="s">
        <v>38</v>
      </c>
      <c r="G823" s="5" t="s">
        <v>50</v>
      </c>
    </row>
    <row r="824" spans="2:7" ht="18" hidden="1">
      <c r="B824" s="55">
        <v>46074</v>
      </c>
      <c r="C824" s="79">
        <v>-30</v>
      </c>
      <c r="D824" s="14" t="s">
        <v>147</v>
      </c>
      <c r="E824" s="5" t="s">
        <v>118</v>
      </c>
      <c r="F824" s="5" t="s">
        <v>53</v>
      </c>
      <c r="G824" s="5" t="s">
        <v>56</v>
      </c>
    </row>
    <row r="825" spans="2:7" ht="18" hidden="1">
      <c r="B825" s="55">
        <v>46074</v>
      </c>
      <c r="C825" s="79">
        <v>-30</v>
      </c>
      <c r="D825" s="14" t="s">
        <v>147</v>
      </c>
      <c r="E825" s="5" t="s">
        <v>118</v>
      </c>
      <c r="F825" s="5" t="s">
        <v>53</v>
      </c>
      <c r="G825" s="5" t="s">
        <v>55</v>
      </c>
    </row>
    <row r="826" spans="2:7" ht="18" hidden="1">
      <c r="B826" s="55">
        <v>46075</v>
      </c>
      <c r="C826" s="79">
        <v>-55</v>
      </c>
      <c r="D826" s="14" t="s">
        <v>147</v>
      </c>
      <c r="E826" s="5" t="s">
        <v>118</v>
      </c>
      <c r="F826" s="5" t="s">
        <v>53</v>
      </c>
      <c r="G826" s="5" t="s">
        <v>56</v>
      </c>
    </row>
    <row r="827" spans="2:7" ht="18" hidden="1">
      <c r="B827" s="55">
        <v>46074</v>
      </c>
      <c r="C827" s="79">
        <v>100</v>
      </c>
      <c r="D827" s="14" t="s">
        <v>95</v>
      </c>
      <c r="E827" s="5" t="s">
        <v>34</v>
      </c>
      <c r="F827" s="5" t="s">
        <v>35</v>
      </c>
      <c r="G827" s="5" t="s">
        <v>41</v>
      </c>
    </row>
    <row r="828" spans="2:7" ht="18" hidden="1">
      <c r="B828" s="55">
        <v>46075</v>
      </c>
      <c r="C828" s="79">
        <v>7.5999999999999998E-2</v>
      </c>
      <c r="D828" s="14" t="s">
        <v>147</v>
      </c>
      <c r="E828" s="5" t="s">
        <v>34</v>
      </c>
      <c r="F828" s="5" t="s">
        <v>36</v>
      </c>
      <c r="G828" s="5" t="s">
        <v>42</v>
      </c>
    </row>
    <row r="829" spans="2:7" ht="18" hidden="1">
      <c r="B829" s="55">
        <v>46075</v>
      </c>
      <c r="C829" s="79">
        <v>-31</v>
      </c>
      <c r="D829" s="14" t="s">
        <v>147</v>
      </c>
      <c r="E829" s="5" t="s">
        <v>118</v>
      </c>
      <c r="F829" s="5" t="s">
        <v>38</v>
      </c>
      <c r="G829" s="5" t="s">
        <v>51</v>
      </c>
    </row>
    <row r="830" spans="2:7" ht="18" hidden="1">
      <c r="B830" s="55">
        <v>46076</v>
      </c>
      <c r="C830" s="79">
        <v>-60</v>
      </c>
      <c r="D830" s="14" t="s">
        <v>148</v>
      </c>
      <c r="E830" s="5" t="s">
        <v>118</v>
      </c>
      <c r="F830" s="5" t="s">
        <v>53</v>
      </c>
      <c r="G830" s="5" t="s">
        <v>56</v>
      </c>
    </row>
    <row r="831" spans="2:7" ht="18" hidden="1">
      <c r="B831" s="55">
        <v>46076</v>
      </c>
      <c r="C831" s="79">
        <v>-60</v>
      </c>
      <c r="D831" s="14" t="s">
        <v>148</v>
      </c>
      <c r="E831" s="5" t="s">
        <v>118</v>
      </c>
      <c r="F831" s="5" t="s">
        <v>53</v>
      </c>
      <c r="G831" s="5" t="s">
        <v>56</v>
      </c>
    </row>
    <row r="832" spans="2:7" ht="18" hidden="1">
      <c r="B832" s="55">
        <v>46076</v>
      </c>
      <c r="C832" s="79">
        <v>-53.25</v>
      </c>
      <c r="D832" s="14" t="s">
        <v>148</v>
      </c>
      <c r="E832" s="5" t="s">
        <v>118</v>
      </c>
      <c r="F832" s="5" t="s">
        <v>53</v>
      </c>
      <c r="G832" s="5" t="s">
        <v>55</v>
      </c>
    </row>
    <row r="833" spans="2:7" ht="18" hidden="1">
      <c r="B833" s="55">
        <v>46076</v>
      </c>
      <c r="C833" s="79">
        <v>-224.53200000000001</v>
      </c>
      <c r="D833" s="14" t="s">
        <v>147</v>
      </c>
      <c r="E833" s="5" t="s">
        <v>118</v>
      </c>
      <c r="F833" s="5" t="s">
        <v>53</v>
      </c>
      <c r="G833" s="5" t="s">
        <v>56</v>
      </c>
    </row>
    <row r="834" spans="2:7" ht="18" hidden="1">
      <c r="B834" s="55">
        <v>46076</v>
      </c>
      <c r="C834" s="79">
        <v>-224.53200000000001</v>
      </c>
      <c r="D834" s="14" t="s">
        <v>147</v>
      </c>
      <c r="E834" s="5" t="s">
        <v>118</v>
      </c>
      <c r="F834" s="5" t="s">
        <v>53</v>
      </c>
      <c r="G834" s="5" t="s">
        <v>56</v>
      </c>
    </row>
    <row r="835" spans="2:7" ht="18" hidden="1">
      <c r="B835" s="55">
        <v>46076</v>
      </c>
      <c r="C835" s="79">
        <v>-40</v>
      </c>
      <c r="D835" s="14" t="s">
        <v>95</v>
      </c>
      <c r="E835" s="5" t="s">
        <v>118</v>
      </c>
      <c r="F835" s="5" t="s">
        <v>38</v>
      </c>
      <c r="G835" s="5" t="s">
        <v>50</v>
      </c>
    </row>
    <row r="836" spans="2:7" ht="18" hidden="1">
      <c r="B836" s="55">
        <v>46076</v>
      </c>
      <c r="C836" s="79">
        <v>-20</v>
      </c>
      <c r="D836" s="14" t="s">
        <v>95</v>
      </c>
      <c r="E836" s="5" t="s">
        <v>118</v>
      </c>
      <c r="F836" s="5" t="s">
        <v>38</v>
      </c>
      <c r="G836" s="5" t="s">
        <v>51</v>
      </c>
    </row>
    <row r="837" spans="2:7" ht="18" hidden="1">
      <c r="B837" s="55">
        <v>46077</v>
      </c>
      <c r="C837" s="79">
        <v>-20</v>
      </c>
      <c r="D837" s="14" t="s">
        <v>147</v>
      </c>
      <c r="E837" s="5" t="s">
        <v>118</v>
      </c>
      <c r="F837" s="5" t="s">
        <v>38</v>
      </c>
      <c r="G837" s="5" t="s">
        <v>50</v>
      </c>
    </row>
    <row r="838" spans="2:7" ht="18" hidden="1">
      <c r="B838" s="55">
        <v>46077</v>
      </c>
      <c r="C838" s="79">
        <v>-120</v>
      </c>
      <c r="D838" s="14" t="s">
        <v>148</v>
      </c>
      <c r="E838" s="5" t="s">
        <v>118</v>
      </c>
      <c r="F838" s="5" t="s">
        <v>38</v>
      </c>
      <c r="G838" s="5" t="s">
        <v>51</v>
      </c>
    </row>
    <row r="839" spans="2:7" ht="18" hidden="1">
      <c r="B839" s="55">
        <v>46077</v>
      </c>
      <c r="C839" s="79">
        <v>136</v>
      </c>
      <c r="D839" s="14" t="s">
        <v>95</v>
      </c>
      <c r="E839" s="5" t="s">
        <v>34</v>
      </c>
      <c r="F839" s="5" t="s">
        <v>36</v>
      </c>
      <c r="G839" s="5" t="s">
        <v>42</v>
      </c>
    </row>
    <row r="840" spans="2:7" ht="18" hidden="1">
      <c r="B840" s="55">
        <v>46078</v>
      </c>
      <c r="C840" s="79">
        <v>-115</v>
      </c>
      <c r="D840" s="14" t="s">
        <v>148</v>
      </c>
      <c r="E840" s="5" t="s">
        <v>118</v>
      </c>
      <c r="F840" s="5" t="s">
        <v>53</v>
      </c>
      <c r="G840" s="5" t="s">
        <v>55</v>
      </c>
    </row>
    <row r="841" spans="2:7" ht="18" hidden="1">
      <c r="B841" s="55">
        <v>46078</v>
      </c>
      <c r="C841" s="79">
        <v>-15</v>
      </c>
      <c r="D841" s="14" t="s">
        <v>148</v>
      </c>
      <c r="E841" s="5" t="s">
        <v>118</v>
      </c>
      <c r="F841" s="5" t="s">
        <v>53</v>
      </c>
      <c r="G841" s="5" t="s">
        <v>55</v>
      </c>
    </row>
    <row r="842" spans="2:7" ht="18" hidden="1">
      <c r="B842" s="55">
        <v>46078</v>
      </c>
      <c r="C842" s="79">
        <v>-179</v>
      </c>
      <c r="D842" s="14" t="s">
        <v>148</v>
      </c>
      <c r="E842" s="5" t="s">
        <v>118</v>
      </c>
      <c r="F842" s="5" t="s">
        <v>53</v>
      </c>
      <c r="G842" s="5" t="s">
        <v>56</v>
      </c>
    </row>
    <row r="843" spans="2:7" ht="18" hidden="1">
      <c r="B843" s="55">
        <v>46078</v>
      </c>
      <c r="C843" s="79">
        <v>-40</v>
      </c>
      <c r="D843" s="14" t="s">
        <v>148</v>
      </c>
      <c r="E843" s="5" t="s">
        <v>118</v>
      </c>
      <c r="F843" s="5" t="s">
        <v>53</v>
      </c>
      <c r="G843" s="5" t="s">
        <v>56</v>
      </c>
    </row>
    <row r="844" spans="2:7" ht="18" hidden="1">
      <c r="B844" s="55">
        <v>46078</v>
      </c>
      <c r="C844" s="79">
        <v>4</v>
      </c>
      <c r="D844" s="14" t="s">
        <v>147</v>
      </c>
      <c r="E844" s="5" t="s">
        <v>34</v>
      </c>
      <c r="F844" s="5" t="s">
        <v>35</v>
      </c>
      <c r="G844" s="5" t="s">
        <v>41</v>
      </c>
    </row>
    <row r="845" spans="2:7" ht="18" hidden="1">
      <c r="B845" s="55">
        <v>46079</v>
      </c>
      <c r="C845" s="79">
        <v>-77</v>
      </c>
      <c r="D845" s="14" t="s">
        <v>148</v>
      </c>
      <c r="E845" s="5" t="s">
        <v>118</v>
      </c>
      <c r="F845" s="5" t="s">
        <v>53</v>
      </c>
      <c r="G845" s="5" t="s">
        <v>56</v>
      </c>
    </row>
    <row r="846" spans="2:7" ht="18" hidden="1">
      <c r="B846" s="55">
        <v>46078</v>
      </c>
      <c r="C846" s="79">
        <v>-50</v>
      </c>
      <c r="D846" s="14" t="s">
        <v>95</v>
      </c>
      <c r="E846" s="5" t="s">
        <v>118</v>
      </c>
      <c r="F846" s="5" t="s">
        <v>38</v>
      </c>
      <c r="G846" s="5" t="s">
        <v>50</v>
      </c>
    </row>
    <row r="847" spans="2:7" ht="18" hidden="1">
      <c r="B847" s="55">
        <v>46079</v>
      </c>
      <c r="C847" s="79">
        <v>-20</v>
      </c>
      <c r="D847" s="14" t="s">
        <v>147</v>
      </c>
      <c r="E847" s="5" t="s">
        <v>118</v>
      </c>
      <c r="F847" s="5" t="s">
        <v>38</v>
      </c>
      <c r="G847" s="5" t="s">
        <v>50</v>
      </c>
    </row>
    <row r="848" spans="2:7" ht="18" hidden="1">
      <c r="B848" s="55">
        <v>46079</v>
      </c>
      <c r="C848" s="79">
        <v>-20</v>
      </c>
      <c r="D848" s="14" t="s">
        <v>147</v>
      </c>
      <c r="E848" s="5" t="s">
        <v>118</v>
      </c>
      <c r="F848" s="5" t="s">
        <v>53</v>
      </c>
      <c r="G848" s="5" t="s">
        <v>56</v>
      </c>
    </row>
    <row r="849" spans="2:8" ht="18" hidden="1">
      <c r="B849" s="55">
        <v>46079</v>
      </c>
      <c r="C849" s="79">
        <v>-253</v>
      </c>
      <c r="D849" s="14" t="s">
        <v>148</v>
      </c>
      <c r="E849" s="5" t="s">
        <v>118</v>
      </c>
      <c r="F849" s="5" t="s">
        <v>53</v>
      </c>
      <c r="G849" s="5" t="s">
        <v>56</v>
      </c>
    </row>
    <row r="850" spans="2:8" ht="18" hidden="1">
      <c r="B850" s="55">
        <v>46081</v>
      </c>
      <c r="C850" s="79">
        <v>-438</v>
      </c>
      <c r="D850" s="14" t="s">
        <v>148</v>
      </c>
      <c r="E850" s="5" t="s">
        <v>118</v>
      </c>
      <c r="F850" s="5" t="s">
        <v>53</v>
      </c>
      <c r="G850" s="5" t="s">
        <v>56</v>
      </c>
    </row>
    <row r="851" spans="2:8" ht="18" hidden="1">
      <c r="B851" s="55">
        <v>46078</v>
      </c>
      <c r="C851" s="79">
        <v>9.1999999999999998E-2</v>
      </c>
      <c r="D851" s="14" t="s">
        <v>148</v>
      </c>
      <c r="E851" s="5" t="s">
        <v>34</v>
      </c>
      <c r="F851" s="5" t="s">
        <v>36</v>
      </c>
      <c r="G851" s="5" t="s">
        <v>42</v>
      </c>
    </row>
    <row r="852" spans="2:8" ht="18" hidden="1">
      <c r="B852" s="55">
        <v>46082</v>
      </c>
      <c r="C852" s="79">
        <v>-75.825000000000003</v>
      </c>
      <c r="D852" s="14" t="s">
        <v>147</v>
      </c>
      <c r="E852" s="5" t="s">
        <v>118</v>
      </c>
      <c r="F852" s="5" t="s">
        <v>53</v>
      </c>
      <c r="G852" s="5" t="s">
        <v>56</v>
      </c>
    </row>
    <row r="853" spans="2:8" ht="18" hidden="1">
      <c r="B853" s="55">
        <v>46082</v>
      </c>
      <c r="C853" s="79">
        <v>436</v>
      </c>
      <c r="D853" s="14" t="s">
        <v>95</v>
      </c>
      <c r="E853" s="5" t="s">
        <v>34</v>
      </c>
      <c r="F853" s="5" t="s">
        <v>36</v>
      </c>
      <c r="G853" s="5" t="s">
        <v>42</v>
      </c>
    </row>
    <row r="854" spans="2:8" ht="18" hidden="1">
      <c r="B854" s="55">
        <v>46079</v>
      </c>
      <c r="C854" s="79">
        <v>-35.999000000000002</v>
      </c>
      <c r="D854" s="14" t="s">
        <v>147</v>
      </c>
      <c r="E854" s="5" t="s">
        <v>118</v>
      </c>
      <c r="F854" s="5" t="s">
        <v>53</v>
      </c>
      <c r="G854" s="5" t="s">
        <v>56</v>
      </c>
    </row>
    <row r="855" spans="2:8" ht="18" hidden="1">
      <c r="B855" s="55">
        <v>46083</v>
      </c>
      <c r="C855" s="79">
        <v>-50</v>
      </c>
      <c r="D855" s="14" t="s">
        <v>95</v>
      </c>
      <c r="E855" s="5" t="s">
        <v>118</v>
      </c>
      <c r="F855" s="5" t="s">
        <v>38</v>
      </c>
      <c r="G855" s="5" t="s">
        <v>50</v>
      </c>
    </row>
    <row r="856" spans="2:8" ht="18" hidden="1">
      <c r="B856" s="55">
        <v>46084</v>
      </c>
      <c r="C856" s="79">
        <v>-3</v>
      </c>
      <c r="D856" s="14" t="s">
        <v>95</v>
      </c>
      <c r="E856" s="5" t="s">
        <v>118</v>
      </c>
      <c r="F856" s="5" t="s">
        <v>38</v>
      </c>
      <c r="G856" s="5" t="s">
        <v>51</v>
      </c>
    </row>
    <row r="857" spans="2:8" ht="18" hidden="1">
      <c r="B857" s="55">
        <v>46084</v>
      </c>
      <c r="C857" s="79">
        <v>-10</v>
      </c>
      <c r="D857" s="14" t="s">
        <v>95</v>
      </c>
      <c r="E857" s="5" t="s">
        <v>118</v>
      </c>
      <c r="F857" s="5" t="s">
        <v>38</v>
      </c>
      <c r="G857" s="5" t="s">
        <v>50</v>
      </c>
    </row>
    <row r="858" spans="2:8" ht="18" hidden="1">
      <c r="B858" s="55">
        <v>46084</v>
      </c>
      <c r="C858" s="79">
        <v>-135</v>
      </c>
      <c r="D858" s="14" t="s">
        <v>148</v>
      </c>
      <c r="E858" s="5" t="s">
        <v>118</v>
      </c>
      <c r="F858" s="5" t="s">
        <v>38</v>
      </c>
      <c r="G858" s="5" t="s">
        <v>50</v>
      </c>
    </row>
    <row r="859" spans="2:8" ht="18" hidden="1">
      <c r="B859" s="55">
        <v>46085</v>
      </c>
      <c r="C859" s="79">
        <v>-55.078000000000003</v>
      </c>
      <c r="D859" s="14" t="s">
        <v>147</v>
      </c>
      <c r="E859" s="5" t="s">
        <v>118</v>
      </c>
      <c r="F859" s="5" t="s">
        <v>38</v>
      </c>
      <c r="G859" s="5" t="s">
        <v>50</v>
      </c>
    </row>
    <row r="860" spans="2:8" ht="18" hidden="1">
      <c r="B860" s="55">
        <v>46085</v>
      </c>
      <c r="C860" s="79">
        <v>-42.5</v>
      </c>
      <c r="D860" s="14" t="s">
        <v>148</v>
      </c>
      <c r="E860" s="5" t="s">
        <v>118</v>
      </c>
      <c r="F860" s="5" t="s">
        <v>53</v>
      </c>
      <c r="G860" s="5" t="s">
        <v>56</v>
      </c>
    </row>
    <row r="861" spans="2:8" ht="18" hidden="1">
      <c r="B861" s="55">
        <v>46085</v>
      </c>
      <c r="C861" s="79">
        <v>-42.5</v>
      </c>
      <c r="D861" s="14" t="s">
        <v>148</v>
      </c>
      <c r="E861" s="5" t="s">
        <v>118</v>
      </c>
      <c r="F861" s="5" t="s">
        <v>53</v>
      </c>
      <c r="G861" s="5" t="s">
        <v>55</v>
      </c>
      <c r="H861" s="2"/>
    </row>
    <row r="862" spans="2:8" ht="18" hidden="1">
      <c r="B862" s="55">
        <v>46085</v>
      </c>
      <c r="C862" s="79">
        <v>-20</v>
      </c>
      <c r="D862" s="14" t="s">
        <v>147</v>
      </c>
      <c r="E862" s="5" t="s">
        <v>118</v>
      </c>
      <c r="F862" s="5" t="s">
        <v>38</v>
      </c>
      <c r="G862" s="5" t="s">
        <v>51</v>
      </c>
    </row>
    <row r="863" spans="2:8" ht="18" hidden="1">
      <c r="B863" s="55">
        <v>46086</v>
      </c>
      <c r="C863" s="79">
        <v>-20</v>
      </c>
      <c r="D863" s="14" t="s">
        <v>147</v>
      </c>
      <c r="E863" s="5" t="s">
        <v>118</v>
      </c>
      <c r="F863" s="5" t="s">
        <v>38</v>
      </c>
      <c r="G863" s="5" t="s">
        <v>50</v>
      </c>
    </row>
    <row r="864" spans="2:8" ht="18" hidden="1">
      <c r="B864" s="55">
        <v>46086</v>
      </c>
      <c r="C864" s="79">
        <v>-6</v>
      </c>
      <c r="D864" s="14" t="s">
        <v>95</v>
      </c>
      <c r="E864" s="5" t="s">
        <v>118</v>
      </c>
      <c r="F864" s="5" t="s">
        <v>38</v>
      </c>
      <c r="G864" s="5" t="s">
        <v>51</v>
      </c>
    </row>
    <row r="865" spans="2:7" ht="18" hidden="1">
      <c r="B865" s="55">
        <v>46086</v>
      </c>
      <c r="C865" s="79">
        <v>1000</v>
      </c>
      <c r="D865" s="14" t="s">
        <v>147</v>
      </c>
      <c r="E865" s="5" t="s">
        <v>34</v>
      </c>
      <c r="F865" s="5" t="s">
        <v>35</v>
      </c>
      <c r="G865" s="5" t="s">
        <v>39</v>
      </c>
    </row>
    <row r="866" spans="2:7" ht="18" hidden="1">
      <c r="B866" s="55">
        <v>46086</v>
      </c>
      <c r="C866" s="79">
        <v>-35</v>
      </c>
      <c r="D866" s="14" t="s">
        <v>147</v>
      </c>
      <c r="E866" s="5" t="s">
        <v>118</v>
      </c>
      <c r="F866" s="5" t="s">
        <v>38</v>
      </c>
      <c r="G866" s="5" t="s">
        <v>50</v>
      </c>
    </row>
    <row r="867" spans="2:7" ht="18" hidden="1">
      <c r="B867" s="55">
        <v>46086</v>
      </c>
      <c r="C867" s="79">
        <v>-80</v>
      </c>
      <c r="D867" s="14" t="s">
        <v>147</v>
      </c>
      <c r="E867" s="5" t="s">
        <v>118</v>
      </c>
      <c r="F867" s="5" t="s">
        <v>38</v>
      </c>
      <c r="G867" s="5" t="s">
        <v>48</v>
      </c>
    </row>
    <row r="868" spans="2:7" ht="18" hidden="1">
      <c r="B868" s="55">
        <v>46086</v>
      </c>
      <c r="C868" s="79">
        <v>-19.28</v>
      </c>
      <c r="D868" s="14" t="s">
        <v>147</v>
      </c>
      <c r="E868" s="5" t="s">
        <v>118</v>
      </c>
      <c r="F868" s="5" t="s">
        <v>53</v>
      </c>
      <c r="G868" s="5" t="s">
        <v>55</v>
      </c>
    </row>
    <row r="869" spans="2:7" ht="18" hidden="1">
      <c r="B869" s="55">
        <v>46086</v>
      </c>
      <c r="C869" s="79">
        <v>-3</v>
      </c>
      <c r="D869" s="14" t="s">
        <v>95</v>
      </c>
      <c r="E869" s="5" t="s">
        <v>118</v>
      </c>
      <c r="F869" s="5" t="s">
        <v>53</v>
      </c>
      <c r="G869" s="5" t="s">
        <v>55</v>
      </c>
    </row>
    <row r="870" spans="2:7" ht="18" hidden="1">
      <c r="B870" s="55">
        <v>46086</v>
      </c>
      <c r="C870" s="79">
        <v>35</v>
      </c>
      <c r="D870" s="14" t="s">
        <v>147</v>
      </c>
      <c r="E870" s="5" t="s">
        <v>34</v>
      </c>
      <c r="F870" s="5" t="s">
        <v>35</v>
      </c>
      <c r="G870" s="5" t="s">
        <v>41</v>
      </c>
    </row>
    <row r="871" spans="2:7" ht="18" hidden="1">
      <c r="B871" s="55">
        <v>46087</v>
      </c>
      <c r="C871" s="79">
        <v>-20</v>
      </c>
      <c r="D871" s="14" t="s">
        <v>147</v>
      </c>
      <c r="E871" s="5" t="s">
        <v>118</v>
      </c>
      <c r="F871" s="5" t="s">
        <v>38</v>
      </c>
      <c r="G871" s="5" t="s">
        <v>50</v>
      </c>
    </row>
    <row r="872" spans="2:7" ht="18" hidden="1">
      <c r="B872" s="55">
        <v>46087</v>
      </c>
      <c r="C872" s="79">
        <v>-20</v>
      </c>
      <c r="D872" s="14" t="s">
        <v>147</v>
      </c>
      <c r="E872" s="5" t="s">
        <v>118</v>
      </c>
      <c r="F872" s="5" t="s">
        <v>53</v>
      </c>
      <c r="G872" s="5" t="s">
        <v>55</v>
      </c>
    </row>
    <row r="873" spans="2:7" ht="18" hidden="1">
      <c r="B873" s="55">
        <v>46087</v>
      </c>
      <c r="C873" s="79">
        <v>-20</v>
      </c>
      <c r="D873" s="14" t="s">
        <v>147</v>
      </c>
      <c r="E873" s="5" t="s">
        <v>118</v>
      </c>
      <c r="F873" s="5" t="s">
        <v>53</v>
      </c>
      <c r="G873" s="5" t="s">
        <v>55</v>
      </c>
    </row>
    <row r="874" spans="2:7" ht="18" hidden="1">
      <c r="B874" s="55">
        <v>46088</v>
      </c>
      <c r="C874" s="79">
        <v>-5</v>
      </c>
      <c r="D874" s="14" t="s">
        <v>95</v>
      </c>
      <c r="E874" s="5" t="s">
        <v>118</v>
      </c>
      <c r="F874" s="5" t="s">
        <v>38</v>
      </c>
      <c r="G874" s="5" t="s">
        <v>50</v>
      </c>
    </row>
    <row r="875" spans="2:7" ht="18" hidden="1">
      <c r="B875" s="55">
        <v>46089</v>
      </c>
      <c r="C875" s="79">
        <v>-70</v>
      </c>
      <c r="D875" s="14" t="s">
        <v>148</v>
      </c>
      <c r="E875" s="5" t="s">
        <v>118</v>
      </c>
      <c r="F875" s="5" t="s">
        <v>38</v>
      </c>
      <c r="G875" s="5" t="s">
        <v>50</v>
      </c>
    </row>
    <row r="876" spans="2:7" ht="18" hidden="1">
      <c r="B876" s="55">
        <v>46088</v>
      </c>
      <c r="C876" s="79">
        <v>-75</v>
      </c>
      <c r="D876" s="14" t="s">
        <v>147</v>
      </c>
      <c r="E876" s="5" t="s">
        <v>118</v>
      </c>
      <c r="F876" s="5" t="s">
        <v>53</v>
      </c>
      <c r="G876" s="5" t="s">
        <v>56</v>
      </c>
    </row>
    <row r="877" spans="2:7" ht="18" hidden="1">
      <c r="B877" s="55">
        <v>46089</v>
      </c>
      <c r="C877" s="79">
        <v>-75</v>
      </c>
      <c r="D877" s="14" t="s">
        <v>147</v>
      </c>
      <c r="E877" s="5" t="s">
        <v>118</v>
      </c>
      <c r="F877" s="5" t="s">
        <v>53</v>
      </c>
      <c r="G877" s="5" t="s">
        <v>56</v>
      </c>
    </row>
    <row r="878" spans="2:7" ht="18" hidden="1">
      <c r="B878" s="55">
        <v>46089</v>
      </c>
      <c r="C878" s="79">
        <v>-10</v>
      </c>
      <c r="D878" s="14" t="s">
        <v>147</v>
      </c>
      <c r="E878" s="5" t="s">
        <v>118</v>
      </c>
      <c r="F878" s="5" t="s">
        <v>53</v>
      </c>
      <c r="G878" s="5" t="s">
        <v>56</v>
      </c>
    </row>
    <row r="879" spans="2:7" ht="18" hidden="1">
      <c r="B879" s="55">
        <v>46089</v>
      </c>
      <c r="C879" s="79">
        <v>-10</v>
      </c>
      <c r="D879" s="14" t="s">
        <v>147</v>
      </c>
      <c r="E879" s="5" t="s">
        <v>118</v>
      </c>
      <c r="F879" s="5" t="s">
        <v>53</v>
      </c>
      <c r="G879" s="5" t="s">
        <v>55</v>
      </c>
    </row>
    <row r="880" spans="2:7" ht="18" hidden="1">
      <c r="B880" s="55">
        <v>46089</v>
      </c>
      <c r="C880" s="79">
        <v>-50</v>
      </c>
      <c r="D880" s="14" t="s">
        <v>147</v>
      </c>
      <c r="E880" s="5" t="s">
        <v>118</v>
      </c>
      <c r="F880" s="5" t="s">
        <v>53</v>
      </c>
      <c r="G880" s="5" t="s">
        <v>55</v>
      </c>
    </row>
    <row r="881" spans="2:7" ht="18" hidden="1">
      <c r="B881" s="55">
        <v>46090</v>
      </c>
      <c r="C881" s="79">
        <v>-315</v>
      </c>
      <c r="D881" s="14" t="s">
        <v>147</v>
      </c>
      <c r="E881" s="5" t="s">
        <v>118</v>
      </c>
      <c r="F881" s="5" t="s">
        <v>53</v>
      </c>
      <c r="G881" s="5" t="s">
        <v>56</v>
      </c>
    </row>
    <row r="882" spans="2:7" ht="18" hidden="1">
      <c r="B882" s="55">
        <v>46090</v>
      </c>
      <c r="C882" s="79">
        <v>-2</v>
      </c>
      <c r="D882" s="14" t="s">
        <v>95</v>
      </c>
      <c r="E882" s="5" t="s">
        <v>118</v>
      </c>
      <c r="F882" s="5" t="s">
        <v>38</v>
      </c>
      <c r="G882" s="5" t="s">
        <v>50</v>
      </c>
    </row>
    <row r="883" spans="2:7" ht="18" hidden="1">
      <c r="B883" s="55">
        <v>46091</v>
      </c>
      <c r="C883" s="79">
        <v>-20</v>
      </c>
      <c r="D883" s="14" t="s">
        <v>147</v>
      </c>
      <c r="E883" s="5" t="s">
        <v>118</v>
      </c>
      <c r="F883" s="5" t="s">
        <v>38</v>
      </c>
      <c r="G883" s="5" t="s">
        <v>50</v>
      </c>
    </row>
    <row r="884" spans="2:7" ht="18" hidden="1">
      <c r="B884" s="55">
        <v>46091</v>
      </c>
      <c r="C884" s="79">
        <v>-10</v>
      </c>
      <c r="D884" s="14" t="s">
        <v>147</v>
      </c>
      <c r="E884" s="5" t="s">
        <v>118</v>
      </c>
      <c r="F884" s="5" t="s">
        <v>38</v>
      </c>
      <c r="G884" s="5" t="s">
        <v>51</v>
      </c>
    </row>
    <row r="885" spans="2:7" ht="18" hidden="1">
      <c r="B885" s="55">
        <v>46091</v>
      </c>
      <c r="C885" s="79">
        <v>-7</v>
      </c>
      <c r="D885" s="14" t="s">
        <v>147</v>
      </c>
      <c r="E885" s="5" t="s">
        <v>118</v>
      </c>
      <c r="F885" s="5" t="s">
        <v>53</v>
      </c>
      <c r="G885" s="5" t="s">
        <v>56</v>
      </c>
    </row>
    <row r="886" spans="2:7" ht="18" hidden="1">
      <c r="B886" s="55">
        <v>46091</v>
      </c>
      <c r="C886" s="79">
        <v>-65.067999999999998</v>
      </c>
      <c r="D886" s="14" t="s">
        <v>147</v>
      </c>
      <c r="E886" s="5" t="s">
        <v>118</v>
      </c>
      <c r="F886" s="5" t="s">
        <v>38</v>
      </c>
      <c r="G886" s="5" t="s">
        <v>50</v>
      </c>
    </row>
    <row r="887" spans="2:7" ht="18" hidden="1">
      <c r="B887" s="55">
        <v>46093</v>
      </c>
      <c r="C887" s="79">
        <v>-20</v>
      </c>
      <c r="D887" s="14" t="s">
        <v>147</v>
      </c>
      <c r="E887" s="5" t="s">
        <v>118</v>
      </c>
      <c r="F887" s="5" t="s">
        <v>38</v>
      </c>
      <c r="G887" s="5" t="s">
        <v>50</v>
      </c>
    </row>
    <row r="888" spans="2:7" ht="18" hidden="1">
      <c r="B888" s="55">
        <v>46094</v>
      </c>
      <c r="C888" s="79">
        <v>-7.666666666666667</v>
      </c>
      <c r="D888" s="14" t="s">
        <v>147</v>
      </c>
      <c r="E888" s="5" t="s">
        <v>118</v>
      </c>
      <c r="F888" s="5" t="s">
        <v>53</v>
      </c>
      <c r="G888" s="5" t="s">
        <v>56</v>
      </c>
    </row>
    <row r="889" spans="2:7" ht="18" hidden="1">
      <c r="B889" s="55">
        <v>46094</v>
      </c>
      <c r="C889" s="79">
        <v>-7.666666666666667</v>
      </c>
      <c r="D889" s="14" t="s">
        <v>147</v>
      </c>
      <c r="E889" s="5" t="s">
        <v>118</v>
      </c>
      <c r="F889" s="5" t="s">
        <v>53</v>
      </c>
      <c r="G889" s="5" t="s">
        <v>56</v>
      </c>
    </row>
    <row r="890" spans="2:7" ht="18" hidden="1">
      <c r="B890" s="55">
        <v>46094</v>
      </c>
      <c r="C890" s="79">
        <v>-7.666666666666667</v>
      </c>
      <c r="D890" s="14" t="s">
        <v>147</v>
      </c>
      <c r="E890" s="5" t="s">
        <v>118</v>
      </c>
      <c r="F890" s="5" t="s">
        <v>53</v>
      </c>
      <c r="G890" s="5" t="s">
        <v>56</v>
      </c>
    </row>
    <row r="891" spans="2:7" ht="18" hidden="1">
      <c r="B891" s="55">
        <v>46095</v>
      </c>
      <c r="C891" s="79">
        <v>-12</v>
      </c>
      <c r="D891" s="14" t="s">
        <v>147</v>
      </c>
      <c r="E891" s="5" t="s">
        <v>118</v>
      </c>
      <c r="F891" s="5" t="s">
        <v>38</v>
      </c>
      <c r="G891" s="5" t="s">
        <v>50</v>
      </c>
    </row>
    <row r="892" spans="2:7" ht="18" hidden="1">
      <c r="B892" s="55">
        <v>46095</v>
      </c>
      <c r="C892" s="79">
        <v>-5000</v>
      </c>
      <c r="D892" s="14" t="s">
        <v>147</v>
      </c>
      <c r="E892" s="5" t="s">
        <v>118</v>
      </c>
      <c r="F892" s="5" t="s">
        <v>63</v>
      </c>
      <c r="G892" s="5" t="s">
        <v>65</v>
      </c>
    </row>
    <row r="893" spans="2:7" ht="18" hidden="1">
      <c r="B893" s="55">
        <v>46096</v>
      </c>
      <c r="C893" s="79">
        <v>-12</v>
      </c>
      <c r="D893" s="14" t="s">
        <v>147</v>
      </c>
      <c r="E893" s="5" t="s">
        <v>118</v>
      </c>
      <c r="F893" s="5" t="s">
        <v>38</v>
      </c>
      <c r="G893" s="5" t="s">
        <v>50</v>
      </c>
    </row>
    <row r="894" spans="2:7" ht="18" hidden="1">
      <c r="B894" s="55">
        <v>46096</v>
      </c>
      <c r="C894" s="79">
        <v>-15</v>
      </c>
      <c r="D894" s="14" t="s">
        <v>147</v>
      </c>
      <c r="E894" s="5" t="s">
        <v>118</v>
      </c>
      <c r="F894" s="5" t="s">
        <v>53</v>
      </c>
      <c r="G894" s="5" t="s">
        <v>55</v>
      </c>
    </row>
    <row r="895" spans="2:7" ht="18" hidden="1">
      <c r="B895" s="55">
        <v>46096</v>
      </c>
      <c r="C895" s="79">
        <v>-65</v>
      </c>
      <c r="D895" s="14" t="s">
        <v>147</v>
      </c>
      <c r="E895" s="5" t="s">
        <v>118</v>
      </c>
      <c r="F895" s="5" t="s">
        <v>53</v>
      </c>
      <c r="G895" s="5" t="s">
        <v>56</v>
      </c>
    </row>
    <row r="896" spans="2:7" ht="18" hidden="1">
      <c r="B896" s="55">
        <v>46096</v>
      </c>
      <c r="C896" s="79">
        <v>1000</v>
      </c>
      <c r="D896" s="14" t="s">
        <v>147</v>
      </c>
      <c r="E896" s="5" t="s">
        <v>34</v>
      </c>
      <c r="F896" s="5" t="s">
        <v>35</v>
      </c>
      <c r="G896" s="5" t="s">
        <v>39</v>
      </c>
    </row>
    <row r="897" spans="2:7" ht="18" hidden="1">
      <c r="B897" s="55">
        <v>46097</v>
      </c>
      <c r="C897" s="79">
        <v>-12</v>
      </c>
      <c r="D897" s="14" t="s">
        <v>147</v>
      </c>
      <c r="E897" s="5" t="s">
        <v>118</v>
      </c>
      <c r="F897" s="5" t="s">
        <v>38</v>
      </c>
      <c r="G897" s="5" t="s">
        <v>50</v>
      </c>
    </row>
    <row r="898" spans="2:7" ht="18" hidden="1">
      <c r="B898" s="55">
        <v>46097</v>
      </c>
      <c r="C898" s="79">
        <v>-5</v>
      </c>
      <c r="D898" s="14" t="s">
        <v>95</v>
      </c>
      <c r="E898" s="5" t="s">
        <v>118</v>
      </c>
      <c r="F898" s="5" t="s">
        <v>38</v>
      </c>
      <c r="G898" s="5" t="s">
        <v>50</v>
      </c>
    </row>
    <row r="899" spans="2:7" ht="18" hidden="1">
      <c r="B899" s="55">
        <v>46097</v>
      </c>
      <c r="C899" s="79">
        <v>-68.846000000000004</v>
      </c>
      <c r="D899" s="14" t="s">
        <v>147</v>
      </c>
      <c r="E899" s="5" t="s">
        <v>118</v>
      </c>
      <c r="F899" s="5" t="s">
        <v>38</v>
      </c>
      <c r="G899" s="5" t="s">
        <v>50</v>
      </c>
    </row>
    <row r="900" spans="2:7" ht="18" hidden="1">
      <c r="B900" s="55">
        <v>46098</v>
      </c>
      <c r="C900" s="79">
        <v>-20</v>
      </c>
      <c r="D900" s="14" t="s">
        <v>147</v>
      </c>
      <c r="E900" s="5" t="s">
        <v>118</v>
      </c>
      <c r="F900" s="5" t="s">
        <v>38</v>
      </c>
      <c r="G900" s="5" t="s">
        <v>50</v>
      </c>
    </row>
    <row r="901" spans="2:7" ht="18" hidden="1">
      <c r="B901" s="55">
        <v>46098</v>
      </c>
      <c r="C901" s="79">
        <v>-20</v>
      </c>
      <c r="D901" s="14" t="s">
        <v>147</v>
      </c>
      <c r="E901" s="5" t="s">
        <v>118</v>
      </c>
      <c r="F901" s="5" t="s">
        <v>38</v>
      </c>
      <c r="G901" s="5" t="s">
        <v>50</v>
      </c>
    </row>
    <row r="902" spans="2:7" ht="18" hidden="1">
      <c r="B902" s="55">
        <v>46098</v>
      </c>
      <c r="C902" s="79">
        <v>-50</v>
      </c>
      <c r="D902" s="14" t="s">
        <v>147</v>
      </c>
      <c r="E902" s="5" t="s">
        <v>118</v>
      </c>
      <c r="F902" s="5" t="s">
        <v>53</v>
      </c>
      <c r="G902" s="5" t="s">
        <v>56</v>
      </c>
    </row>
    <row r="903" spans="2:7" ht="18" hidden="1">
      <c r="B903" s="55">
        <v>46099</v>
      </c>
      <c r="C903" s="79">
        <v>-55</v>
      </c>
      <c r="D903" s="14" t="s">
        <v>147</v>
      </c>
      <c r="E903" s="5" t="s">
        <v>118</v>
      </c>
      <c r="F903" s="5" t="s">
        <v>53</v>
      </c>
      <c r="G903" s="5" t="s">
        <v>56</v>
      </c>
    </row>
    <row r="904" spans="2:7" ht="18" hidden="1">
      <c r="B904" s="55">
        <v>46097</v>
      </c>
      <c r="C904" s="79">
        <v>-55</v>
      </c>
      <c r="D904" s="14" t="s">
        <v>147</v>
      </c>
      <c r="E904" s="5" t="s">
        <v>118</v>
      </c>
      <c r="F904" s="5" t="s">
        <v>53</v>
      </c>
      <c r="G904" s="5" t="s">
        <v>56</v>
      </c>
    </row>
    <row r="905" spans="2:7" ht="18" hidden="1">
      <c r="B905" s="55">
        <v>46099</v>
      </c>
      <c r="C905" s="79">
        <v>-39</v>
      </c>
      <c r="D905" s="14" t="s">
        <v>147</v>
      </c>
      <c r="E905" s="5" t="s">
        <v>118</v>
      </c>
      <c r="F905" s="5" t="s">
        <v>53</v>
      </c>
      <c r="G905" s="5" t="s">
        <v>55</v>
      </c>
    </row>
    <row r="906" spans="2:7" ht="18" hidden="1">
      <c r="B906" s="55">
        <v>46099</v>
      </c>
      <c r="C906" s="79">
        <v>-5</v>
      </c>
      <c r="D906" s="14" t="s">
        <v>147</v>
      </c>
      <c r="E906" s="5" t="s">
        <v>118</v>
      </c>
      <c r="F906" s="5" t="s">
        <v>38</v>
      </c>
      <c r="G906" s="5" t="s">
        <v>50</v>
      </c>
    </row>
    <row r="907" spans="2:7" ht="18" hidden="1">
      <c r="B907" s="55">
        <v>46099</v>
      </c>
      <c r="C907" s="79">
        <v>-190</v>
      </c>
      <c r="D907" s="14" t="s">
        <v>147</v>
      </c>
      <c r="E907" s="5" t="s">
        <v>118</v>
      </c>
      <c r="F907" s="5" t="s">
        <v>38</v>
      </c>
      <c r="G907" s="5" t="s">
        <v>48</v>
      </c>
    </row>
    <row r="908" spans="2:7" ht="18" hidden="1">
      <c r="B908" s="55">
        <v>46100</v>
      </c>
      <c r="C908" s="79">
        <v>-15</v>
      </c>
      <c r="D908" s="14" t="s">
        <v>147</v>
      </c>
      <c r="E908" s="5" t="s">
        <v>118</v>
      </c>
      <c r="F908" s="5" t="s">
        <v>38</v>
      </c>
      <c r="G908" s="5" t="s">
        <v>50</v>
      </c>
    </row>
    <row r="909" spans="2:7" ht="18" hidden="1">
      <c r="B909" s="55">
        <v>46100</v>
      </c>
      <c r="C909" s="79">
        <v>-6</v>
      </c>
      <c r="D909" s="14" t="s">
        <v>95</v>
      </c>
      <c r="E909" s="5" t="s">
        <v>118</v>
      </c>
      <c r="F909" s="5" t="s">
        <v>38</v>
      </c>
      <c r="G909" s="5" t="s">
        <v>50</v>
      </c>
    </row>
    <row r="910" spans="2:7" ht="18" hidden="1">
      <c r="B910" s="55">
        <v>46100</v>
      </c>
      <c r="C910" s="79">
        <v>-25</v>
      </c>
      <c r="D910" s="14" t="s">
        <v>147</v>
      </c>
      <c r="E910" s="5" t="s">
        <v>118</v>
      </c>
      <c r="F910" s="5" t="s">
        <v>53</v>
      </c>
      <c r="G910" s="5" t="s">
        <v>55</v>
      </c>
    </row>
    <row r="911" spans="2:7" ht="18" hidden="1">
      <c r="B911" s="55">
        <v>46101</v>
      </c>
      <c r="C911" s="79">
        <v>-20</v>
      </c>
      <c r="D911" s="14" t="s">
        <v>147</v>
      </c>
      <c r="E911" s="5" t="s">
        <v>118</v>
      </c>
      <c r="F911" s="5" t="s">
        <v>38</v>
      </c>
      <c r="G911" s="5" t="s">
        <v>50</v>
      </c>
    </row>
    <row r="912" spans="2:7" ht="18" hidden="1">
      <c r="B912" s="55">
        <v>46101</v>
      </c>
      <c r="C912" s="79">
        <v>-80</v>
      </c>
      <c r="D912" s="14" t="s">
        <v>147</v>
      </c>
      <c r="E912" s="5" t="s">
        <v>118</v>
      </c>
      <c r="F912" s="5" t="s">
        <v>38</v>
      </c>
      <c r="G912" s="5" t="s">
        <v>50</v>
      </c>
    </row>
    <row r="913" spans="2:7" ht="18" hidden="1">
      <c r="B913" s="55">
        <v>46102</v>
      </c>
      <c r="C913" s="79">
        <v>-3</v>
      </c>
      <c r="D913" s="14" t="s">
        <v>95</v>
      </c>
      <c r="E913" s="5" t="s">
        <v>118</v>
      </c>
      <c r="F913" s="5" t="s">
        <v>38</v>
      </c>
      <c r="G913" s="5" t="s">
        <v>50</v>
      </c>
    </row>
    <row r="914" spans="2:7" ht="18" hidden="1">
      <c r="B914" s="55">
        <v>46103</v>
      </c>
      <c r="C914" s="79">
        <v>7.0999999999999994E-2</v>
      </c>
      <c r="D914" s="14" t="s">
        <v>147</v>
      </c>
      <c r="E914" s="5" t="s">
        <v>34</v>
      </c>
      <c r="F914" s="5" t="s">
        <v>36</v>
      </c>
      <c r="G914" s="5" t="s">
        <v>42</v>
      </c>
    </row>
    <row r="915" spans="2:7" ht="18" hidden="1">
      <c r="B915" s="55">
        <v>46103</v>
      </c>
      <c r="C915" s="79">
        <v>-20</v>
      </c>
      <c r="D915" s="14" t="s">
        <v>147</v>
      </c>
      <c r="E915" s="5" t="s">
        <v>118</v>
      </c>
      <c r="F915" s="5" t="s">
        <v>53</v>
      </c>
      <c r="G915" s="5" t="s">
        <v>55</v>
      </c>
    </row>
    <row r="916" spans="2:7" ht="18" hidden="1">
      <c r="B916" s="55">
        <v>46103</v>
      </c>
      <c r="C916" s="79">
        <v>-53.008000000000003</v>
      </c>
      <c r="D916" s="14" t="s">
        <v>147</v>
      </c>
      <c r="E916" s="5" t="s">
        <v>118</v>
      </c>
      <c r="F916" s="5" t="s">
        <v>38</v>
      </c>
      <c r="G916" s="5" t="s">
        <v>50</v>
      </c>
    </row>
    <row r="917" spans="2:7" ht="18" hidden="1">
      <c r="B917" s="55">
        <v>46103</v>
      </c>
      <c r="C917" s="79">
        <v>-55</v>
      </c>
      <c r="D917" s="14" t="s">
        <v>147</v>
      </c>
      <c r="E917" s="5" t="s">
        <v>118</v>
      </c>
      <c r="F917" s="5" t="s">
        <v>53</v>
      </c>
      <c r="G917" s="5" t="s">
        <v>56</v>
      </c>
    </row>
    <row r="918" spans="2:7" ht="18" hidden="1">
      <c r="B918" s="55">
        <v>46101</v>
      </c>
      <c r="C918" s="79">
        <v>-55</v>
      </c>
      <c r="D918" s="14" t="s">
        <v>147</v>
      </c>
      <c r="E918" s="5" t="s">
        <v>118</v>
      </c>
      <c r="F918" s="5" t="s">
        <v>53</v>
      </c>
      <c r="G918" s="5" t="s">
        <v>56</v>
      </c>
    </row>
    <row r="919" spans="2:7" ht="18" hidden="1">
      <c r="B919" s="55">
        <v>46103</v>
      </c>
      <c r="C919" s="79">
        <v>-45</v>
      </c>
      <c r="D919" s="14" t="s">
        <v>147</v>
      </c>
      <c r="E919" s="5" t="s">
        <v>118</v>
      </c>
      <c r="F919" s="5" t="s">
        <v>53</v>
      </c>
      <c r="G919" s="5" t="s">
        <v>56</v>
      </c>
    </row>
    <row r="920" spans="2:7" ht="18" hidden="1">
      <c r="B920" s="55">
        <v>46103</v>
      </c>
      <c r="C920" s="79">
        <v>55</v>
      </c>
      <c r="D920" s="14" t="s">
        <v>147</v>
      </c>
      <c r="E920" s="5" t="s">
        <v>34</v>
      </c>
      <c r="F920" s="5" t="s">
        <v>35</v>
      </c>
      <c r="G920" s="5" t="s">
        <v>41</v>
      </c>
    </row>
    <row r="921" spans="2:7" ht="18" hidden="1">
      <c r="B921" s="55">
        <v>46104</v>
      </c>
      <c r="C921" s="79">
        <v>-5</v>
      </c>
      <c r="D921" s="14" t="s">
        <v>95</v>
      </c>
      <c r="E921" s="5" t="s">
        <v>118</v>
      </c>
      <c r="F921" s="5" t="s">
        <v>38</v>
      </c>
      <c r="G921" s="5" t="s">
        <v>50</v>
      </c>
    </row>
    <row r="922" spans="2:7" ht="18" hidden="1">
      <c r="B922" s="55">
        <v>46105</v>
      </c>
      <c r="C922" s="79">
        <v>-15</v>
      </c>
      <c r="D922" s="14" t="s">
        <v>95</v>
      </c>
      <c r="E922" s="5" t="s">
        <v>118</v>
      </c>
      <c r="F922" s="5" t="s">
        <v>38</v>
      </c>
      <c r="G922" s="5" t="s">
        <v>50</v>
      </c>
    </row>
    <row r="923" spans="2:7" ht="18" hidden="1">
      <c r="B923" s="55">
        <v>46105</v>
      </c>
      <c r="C923" s="79">
        <v>-75</v>
      </c>
      <c r="D923" s="14" t="s">
        <v>147</v>
      </c>
      <c r="E923" s="5" t="s">
        <v>118</v>
      </c>
      <c r="F923" s="5" t="s">
        <v>38</v>
      </c>
      <c r="G923" s="5" t="s">
        <v>50</v>
      </c>
    </row>
    <row r="924" spans="2:7" ht="18" hidden="1">
      <c r="B924" s="55">
        <v>46105</v>
      </c>
      <c r="C924" s="79">
        <v>-2</v>
      </c>
      <c r="D924" s="14" t="s">
        <v>95</v>
      </c>
      <c r="E924" s="5" t="s">
        <v>118</v>
      </c>
      <c r="F924" s="5" t="s">
        <v>38</v>
      </c>
      <c r="G924" s="5" t="s">
        <v>50</v>
      </c>
    </row>
    <row r="925" spans="2:7" ht="18" hidden="1">
      <c r="B925" s="55">
        <v>46106</v>
      </c>
      <c r="C925" s="79">
        <v>-34</v>
      </c>
      <c r="D925" s="14" t="s">
        <v>147</v>
      </c>
      <c r="E925" s="5" t="s">
        <v>118</v>
      </c>
      <c r="F925" s="5" t="s">
        <v>38</v>
      </c>
      <c r="G925" s="5" t="s">
        <v>50</v>
      </c>
    </row>
    <row r="926" spans="2:7" ht="18" hidden="1">
      <c r="B926" s="55">
        <v>46106</v>
      </c>
      <c r="C926" s="79">
        <v>-57.5</v>
      </c>
      <c r="D926" s="14" t="s">
        <v>147</v>
      </c>
      <c r="E926" s="5" t="s">
        <v>118</v>
      </c>
      <c r="F926" s="5" t="s">
        <v>53</v>
      </c>
      <c r="G926" s="5" t="s">
        <v>56</v>
      </c>
    </row>
    <row r="927" spans="2:7" ht="18" hidden="1">
      <c r="B927" s="55">
        <v>46106</v>
      </c>
      <c r="C927" s="79">
        <v>-57.5</v>
      </c>
      <c r="D927" s="14" t="s">
        <v>147</v>
      </c>
      <c r="E927" s="5" t="s">
        <v>118</v>
      </c>
      <c r="F927" s="5" t="s">
        <v>53</v>
      </c>
      <c r="G927" s="5" t="s">
        <v>55</v>
      </c>
    </row>
    <row r="928" spans="2:7" ht="18" hidden="1">
      <c r="B928" s="55">
        <v>46106</v>
      </c>
      <c r="C928" s="79">
        <v>-15</v>
      </c>
      <c r="D928" s="14" t="s">
        <v>147</v>
      </c>
      <c r="E928" s="5" t="s">
        <v>118</v>
      </c>
      <c r="F928" s="5" t="s">
        <v>53</v>
      </c>
      <c r="G928" s="5" t="s">
        <v>56</v>
      </c>
    </row>
    <row r="929" spans="2:7" ht="18" hidden="1">
      <c r="B929" s="55">
        <v>46106</v>
      </c>
      <c r="C929" s="79">
        <v>-20</v>
      </c>
      <c r="D929" s="14" t="s">
        <v>147</v>
      </c>
      <c r="E929" s="5" t="s">
        <v>118</v>
      </c>
      <c r="F929" s="5" t="s">
        <v>38</v>
      </c>
      <c r="G929" s="5" t="s">
        <v>50</v>
      </c>
    </row>
    <row r="930" spans="2:7" ht="18" hidden="1">
      <c r="B930" s="55">
        <v>46106</v>
      </c>
      <c r="C930" s="79">
        <v>-29.5</v>
      </c>
      <c r="D930" s="14" t="s">
        <v>147</v>
      </c>
      <c r="E930" s="5" t="s">
        <v>118</v>
      </c>
      <c r="F930" s="5" t="s">
        <v>53</v>
      </c>
      <c r="G930" s="5" t="s">
        <v>55</v>
      </c>
    </row>
    <row r="931" spans="2:7" ht="18" hidden="1">
      <c r="B931" s="55">
        <v>46106</v>
      </c>
      <c r="C931" s="79">
        <v>-9.5</v>
      </c>
      <c r="D931" s="14" t="s">
        <v>147</v>
      </c>
      <c r="E931" s="5" t="s">
        <v>118</v>
      </c>
      <c r="F931" s="5" t="s">
        <v>53</v>
      </c>
      <c r="G931" s="5" t="s">
        <v>56</v>
      </c>
    </row>
    <row r="932" spans="2:7" ht="18" hidden="1">
      <c r="B932" s="55">
        <v>46106</v>
      </c>
      <c r="C932" s="79">
        <v>-80</v>
      </c>
      <c r="D932" s="14" t="s">
        <v>147</v>
      </c>
      <c r="E932" s="5" t="s">
        <v>118</v>
      </c>
      <c r="F932" s="5" t="s">
        <v>38</v>
      </c>
      <c r="G932" s="5" t="s">
        <v>50</v>
      </c>
    </row>
    <row r="933" spans="2:7" ht="18" hidden="1">
      <c r="B933" s="55">
        <v>46106</v>
      </c>
      <c r="C933" s="79">
        <v>3000</v>
      </c>
      <c r="D933" s="14" t="s">
        <v>147</v>
      </c>
      <c r="E933" s="5" t="s">
        <v>34</v>
      </c>
      <c r="F933" s="5" t="s">
        <v>35</v>
      </c>
      <c r="G933" s="5" t="s">
        <v>39</v>
      </c>
    </row>
    <row r="934" spans="2:7" ht="18" hidden="1">
      <c r="B934" s="55">
        <v>46106</v>
      </c>
      <c r="C934" s="79">
        <v>-32</v>
      </c>
      <c r="D934" s="14" t="s">
        <v>147</v>
      </c>
      <c r="E934" s="5" t="s">
        <v>118</v>
      </c>
      <c r="F934" s="5" t="s">
        <v>53</v>
      </c>
      <c r="G934" s="5" t="s">
        <v>55</v>
      </c>
    </row>
    <row r="935" spans="2:7" ht="18" hidden="1">
      <c r="B935" s="55">
        <v>46109</v>
      </c>
      <c r="C935" s="79">
        <v>-3</v>
      </c>
      <c r="D935" s="14" t="s">
        <v>95</v>
      </c>
      <c r="E935" s="5" t="s">
        <v>118</v>
      </c>
      <c r="F935" s="5" t="s">
        <v>38</v>
      </c>
      <c r="G935" s="5" t="s">
        <v>51</v>
      </c>
    </row>
    <row r="936" spans="2:7" ht="18" hidden="1">
      <c r="B936" s="55">
        <v>46110</v>
      </c>
      <c r="C936" s="79">
        <v>-190</v>
      </c>
      <c r="D936" s="14" t="s">
        <v>147</v>
      </c>
      <c r="E936" s="5" t="s">
        <v>118</v>
      </c>
      <c r="F936" s="5" t="s">
        <v>38</v>
      </c>
      <c r="G936" s="5" t="s">
        <v>48</v>
      </c>
    </row>
    <row r="937" spans="2:7" ht="18" hidden="1">
      <c r="B937" s="55">
        <v>46110</v>
      </c>
      <c r="C937" s="79">
        <v>-15</v>
      </c>
      <c r="D937" s="14" t="s">
        <v>147</v>
      </c>
      <c r="E937" s="5" t="s">
        <v>118</v>
      </c>
      <c r="F937" s="5" t="s">
        <v>53</v>
      </c>
      <c r="G937" s="5" t="s">
        <v>56</v>
      </c>
    </row>
    <row r="938" spans="2:7" ht="18" hidden="1">
      <c r="B938" s="55">
        <v>46110</v>
      </c>
      <c r="C938" s="79">
        <v>-5</v>
      </c>
      <c r="D938" s="14" t="s">
        <v>147</v>
      </c>
      <c r="E938" s="5" t="s">
        <v>118</v>
      </c>
      <c r="F938" s="5" t="s">
        <v>53</v>
      </c>
      <c r="G938" s="5" t="s">
        <v>55</v>
      </c>
    </row>
    <row r="939" spans="2:7" ht="18" hidden="1">
      <c r="B939" s="55">
        <v>46111</v>
      </c>
      <c r="C939" s="79">
        <v>-70</v>
      </c>
      <c r="D939" s="14" t="s">
        <v>147</v>
      </c>
      <c r="E939" s="5" t="s">
        <v>118</v>
      </c>
      <c r="F939" s="5" t="s">
        <v>38</v>
      </c>
      <c r="G939" s="5" t="s">
        <v>50</v>
      </c>
    </row>
    <row r="940" spans="2:7" ht="18" hidden="1">
      <c r="B940" s="55">
        <v>46111</v>
      </c>
      <c r="C940" s="79">
        <v>-80</v>
      </c>
      <c r="D940" s="14" t="s">
        <v>147</v>
      </c>
      <c r="E940" s="5" t="s">
        <v>118</v>
      </c>
      <c r="F940" s="5" t="s">
        <v>38</v>
      </c>
      <c r="G940" s="5" t="s">
        <v>50</v>
      </c>
    </row>
    <row r="941" spans="2:7" ht="18" hidden="1">
      <c r="B941" s="55">
        <v>46111</v>
      </c>
      <c r="C941" s="79">
        <v>-20</v>
      </c>
      <c r="D941" s="14" t="s">
        <v>147</v>
      </c>
      <c r="E941" s="5" t="s">
        <v>118</v>
      </c>
      <c r="F941" s="5" t="s">
        <v>38</v>
      </c>
      <c r="G941" s="5" t="s">
        <v>50</v>
      </c>
    </row>
    <row r="942" spans="2:7" ht="18" hidden="1">
      <c r="B942" s="55">
        <v>46111</v>
      </c>
      <c r="C942" s="79">
        <v>-10</v>
      </c>
      <c r="D942" s="14" t="s">
        <v>147</v>
      </c>
      <c r="E942" s="5" t="s">
        <v>118</v>
      </c>
      <c r="F942" s="5" t="s">
        <v>53</v>
      </c>
      <c r="G942" s="5" t="s">
        <v>56</v>
      </c>
    </row>
    <row r="943" spans="2:7" ht="18" hidden="1">
      <c r="B943" s="55">
        <v>46111</v>
      </c>
      <c r="C943" s="79">
        <v>-52</v>
      </c>
      <c r="D943" s="14" t="s">
        <v>147</v>
      </c>
      <c r="E943" s="5" t="s">
        <v>118</v>
      </c>
      <c r="F943" s="5" t="s">
        <v>53</v>
      </c>
      <c r="G943" s="5" t="s">
        <v>56</v>
      </c>
    </row>
    <row r="944" spans="2:7" ht="18" hidden="1">
      <c r="B944" s="55">
        <v>46112</v>
      </c>
      <c r="C944" s="79">
        <v>-15</v>
      </c>
      <c r="D944" s="14" t="s">
        <v>147</v>
      </c>
      <c r="E944" s="5" t="s">
        <v>118</v>
      </c>
      <c r="F944" s="5" t="s">
        <v>38</v>
      </c>
      <c r="G944" s="5" t="s">
        <v>50</v>
      </c>
    </row>
    <row r="945" spans="2:7" ht="18" hidden="1">
      <c r="B945" s="55">
        <v>46112</v>
      </c>
      <c r="C945" s="79">
        <v>-3</v>
      </c>
      <c r="D945" s="14" t="s">
        <v>95</v>
      </c>
      <c r="E945" s="5" t="s">
        <v>118</v>
      </c>
      <c r="F945" s="5" t="s">
        <v>38</v>
      </c>
      <c r="G945" s="5" t="s">
        <v>50</v>
      </c>
    </row>
    <row r="946" spans="2:7" ht="18" hidden="1">
      <c r="B946" s="55">
        <v>46113</v>
      </c>
      <c r="C946" s="79">
        <v>-52.5</v>
      </c>
      <c r="D946" s="14" t="s">
        <v>147</v>
      </c>
      <c r="E946" s="5" t="s">
        <v>118</v>
      </c>
      <c r="F946" s="5" t="s">
        <v>53</v>
      </c>
      <c r="G946" s="5" t="s">
        <v>56</v>
      </c>
    </row>
    <row r="947" spans="2:7" ht="18" hidden="1">
      <c r="B947" s="55">
        <v>46113</v>
      </c>
      <c r="C947" s="79">
        <v>-52.5</v>
      </c>
      <c r="D947" s="14" t="s">
        <v>147</v>
      </c>
      <c r="E947" s="5" t="s">
        <v>118</v>
      </c>
      <c r="F947" s="5" t="s">
        <v>53</v>
      </c>
      <c r="G947" s="5" t="s">
        <v>55</v>
      </c>
    </row>
    <row r="948" spans="2:7" ht="18" hidden="1">
      <c r="B948" s="55">
        <v>46114</v>
      </c>
      <c r="C948" s="79">
        <v>-2</v>
      </c>
      <c r="D948" s="14" t="s">
        <v>95</v>
      </c>
      <c r="E948" s="5" t="s">
        <v>118</v>
      </c>
      <c r="F948" s="5" t="s">
        <v>38</v>
      </c>
      <c r="G948" s="5" t="s">
        <v>51</v>
      </c>
    </row>
    <row r="949" spans="2:7" ht="18" hidden="1">
      <c r="B949" s="55">
        <v>46114</v>
      </c>
      <c r="C949" s="79">
        <v>108.333</v>
      </c>
      <c r="D949" s="14" t="s">
        <v>147</v>
      </c>
      <c r="E949" s="5" t="s">
        <v>34</v>
      </c>
      <c r="F949" s="5" t="s">
        <v>36</v>
      </c>
      <c r="G949" s="5" t="s">
        <v>42</v>
      </c>
    </row>
    <row r="950" spans="2:7" ht="18" hidden="1">
      <c r="B950" s="55">
        <v>46115</v>
      </c>
      <c r="C950" s="79">
        <v>-15</v>
      </c>
      <c r="D950" s="14" t="s">
        <v>148</v>
      </c>
      <c r="E950" s="5" t="s">
        <v>118</v>
      </c>
      <c r="F950" s="5" t="s">
        <v>38</v>
      </c>
      <c r="G950" s="5" t="s">
        <v>50</v>
      </c>
    </row>
    <row r="951" spans="2:7" ht="18" hidden="1">
      <c r="B951" s="55">
        <v>46116</v>
      </c>
      <c r="C951" s="79">
        <v>1</v>
      </c>
      <c r="D951" s="14" t="s">
        <v>95</v>
      </c>
      <c r="E951" s="5" t="s">
        <v>34</v>
      </c>
      <c r="F951" s="5" t="s">
        <v>35</v>
      </c>
      <c r="G951" s="5" t="s">
        <v>41</v>
      </c>
    </row>
    <row r="952" spans="2:7" ht="18" hidden="1">
      <c r="B952" s="55">
        <v>46116</v>
      </c>
      <c r="C952" s="79">
        <v>-80</v>
      </c>
      <c r="D952" s="14" t="s">
        <v>147</v>
      </c>
      <c r="E952" s="5" t="s">
        <v>118</v>
      </c>
      <c r="F952" s="5" t="s">
        <v>38</v>
      </c>
      <c r="G952" s="5" t="s">
        <v>50</v>
      </c>
    </row>
    <row r="953" spans="2:7" ht="18" hidden="1">
      <c r="B953" s="55">
        <v>46116</v>
      </c>
      <c r="C953" s="79">
        <v>-60</v>
      </c>
      <c r="D953" s="14" t="s">
        <v>147</v>
      </c>
      <c r="E953" s="5" t="s">
        <v>118</v>
      </c>
      <c r="F953" s="5" t="s">
        <v>38</v>
      </c>
      <c r="G953" s="5" t="s">
        <v>48</v>
      </c>
    </row>
    <row r="954" spans="2:7" ht="18" hidden="1">
      <c r="B954" s="55">
        <v>46119</v>
      </c>
      <c r="C954" s="79">
        <v>-15</v>
      </c>
      <c r="D954" s="14" t="s">
        <v>147</v>
      </c>
      <c r="E954" s="5" t="s">
        <v>118</v>
      </c>
      <c r="F954" s="5" t="s">
        <v>38</v>
      </c>
      <c r="G954" s="5" t="s">
        <v>50</v>
      </c>
    </row>
    <row r="955" spans="2:7" ht="18" hidden="1">
      <c r="B955" s="55">
        <v>46119</v>
      </c>
      <c r="C955" s="79">
        <v>-3</v>
      </c>
      <c r="D955" s="14" t="s">
        <v>95</v>
      </c>
      <c r="E955" s="5" t="s">
        <v>118</v>
      </c>
      <c r="F955" s="5" t="s">
        <v>38</v>
      </c>
      <c r="G955" s="5" t="s">
        <v>50</v>
      </c>
    </row>
    <row r="956" spans="2:7" ht="18" hidden="1">
      <c r="B956" s="55">
        <v>46119</v>
      </c>
      <c r="C956" s="79">
        <v>-3</v>
      </c>
      <c r="D956" s="14" t="s">
        <v>95</v>
      </c>
      <c r="E956" s="5" t="s">
        <v>118</v>
      </c>
      <c r="F956" s="5" t="s">
        <v>53</v>
      </c>
      <c r="G956" s="5" t="s">
        <v>55</v>
      </c>
    </row>
    <row r="957" spans="2:7" ht="18" hidden="1">
      <c r="B957" s="55">
        <v>46119</v>
      </c>
      <c r="C957" s="79">
        <v>-187.648</v>
      </c>
      <c r="D957" s="14" t="s">
        <v>147</v>
      </c>
      <c r="E957" s="5" t="s">
        <v>118</v>
      </c>
      <c r="F957" s="5" t="s">
        <v>38</v>
      </c>
      <c r="G957" s="5" t="s">
        <v>48</v>
      </c>
    </row>
    <row r="958" spans="2:7" ht="18" hidden="1">
      <c r="B958" s="55">
        <v>46121</v>
      </c>
      <c r="C958" s="79">
        <v>-15</v>
      </c>
      <c r="D958" s="14" t="s">
        <v>147</v>
      </c>
      <c r="E958" s="5" t="s">
        <v>118</v>
      </c>
      <c r="F958" s="5" t="s">
        <v>38</v>
      </c>
      <c r="G958" s="5" t="s">
        <v>50</v>
      </c>
    </row>
    <row r="959" spans="2:7" ht="18" hidden="1">
      <c r="B959" s="55">
        <v>46121</v>
      </c>
      <c r="C959" s="79">
        <v>-5</v>
      </c>
      <c r="D959" s="14" t="s">
        <v>147</v>
      </c>
      <c r="E959" s="5" t="s">
        <v>118</v>
      </c>
      <c r="F959" s="5" t="s">
        <v>38</v>
      </c>
      <c r="G959" s="5" t="s">
        <v>50</v>
      </c>
    </row>
    <row r="960" spans="2:7" ht="18" hidden="1">
      <c r="B960" s="55">
        <v>46121</v>
      </c>
      <c r="C960" s="79">
        <v>-25</v>
      </c>
      <c r="D960" s="14" t="s">
        <v>147</v>
      </c>
      <c r="E960" s="5" t="s">
        <v>118</v>
      </c>
      <c r="F960" s="5" t="s">
        <v>38</v>
      </c>
      <c r="G960" s="5" t="s">
        <v>50</v>
      </c>
    </row>
    <row r="961" spans="2:7" ht="18" hidden="1">
      <c r="B961" s="55">
        <v>46121</v>
      </c>
      <c r="C961" s="79">
        <v>-50</v>
      </c>
      <c r="D961" s="14" t="s">
        <v>147</v>
      </c>
      <c r="E961" s="5" t="s">
        <v>118</v>
      </c>
      <c r="F961" s="5" t="s">
        <v>38</v>
      </c>
      <c r="G961" s="5" t="s">
        <v>50</v>
      </c>
    </row>
    <row r="962" spans="2:7" ht="18" hidden="1">
      <c r="B962" s="55">
        <v>46123</v>
      </c>
      <c r="C962" s="79">
        <v>-120</v>
      </c>
      <c r="D962" s="14" t="s">
        <v>147</v>
      </c>
      <c r="E962" s="5" t="s">
        <v>118</v>
      </c>
      <c r="F962" s="5" t="s">
        <v>53</v>
      </c>
      <c r="G962" s="5" t="s">
        <v>55</v>
      </c>
    </row>
    <row r="963" spans="2:7" ht="18" hidden="1">
      <c r="B963" s="55">
        <v>46123</v>
      </c>
      <c r="C963" s="79">
        <v>-45</v>
      </c>
      <c r="D963" s="14" t="s">
        <v>147</v>
      </c>
      <c r="E963" s="5" t="s">
        <v>118</v>
      </c>
      <c r="F963" s="5" t="s">
        <v>38</v>
      </c>
      <c r="G963" s="5" t="s">
        <v>50</v>
      </c>
    </row>
    <row r="964" spans="2:7" ht="18" hidden="1">
      <c r="B964" s="55">
        <v>46123</v>
      </c>
      <c r="C964" s="79">
        <v>-39</v>
      </c>
      <c r="D964" s="14" t="s">
        <v>147</v>
      </c>
      <c r="E964" s="5" t="s">
        <v>118</v>
      </c>
      <c r="F964" s="5" t="s">
        <v>53</v>
      </c>
      <c r="G964" s="5" t="s">
        <v>56</v>
      </c>
    </row>
    <row r="965" spans="2:7" ht="18" hidden="1">
      <c r="B965" s="55">
        <v>46123</v>
      </c>
      <c r="C965" s="79">
        <v>-25</v>
      </c>
      <c r="D965" s="14" t="s">
        <v>147</v>
      </c>
      <c r="E965" s="5" t="s">
        <v>118</v>
      </c>
      <c r="F965" s="5" t="s">
        <v>53</v>
      </c>
      <c r="G965" s="5" t="s">
        <v>56</v>
      </c>
    </row>
    <row r="966" spans="2:7" ht="18" hidden="1">
      <c r="B966" s="55">
        <v>46124</v>
      </c>
      <c r="C966" s="79">
        <v>-15</v>
      </c>
      <c r="D966" s="14" t="s">
        <v>147</v>
      </c>
      <c r="E966" s="5" t="s">
        <v>118</v>
      </c>
      <c r="F966" s="5" t="s">
        <v>38</v>
      </c>
      <c r="G966" s="5" t="s">
        <v>50</v>
      </c>
    </row>
    <row r="967" spans="2:7" ht="18" hidden="1">
      <c r="B967" s="55">
        <v>46124</v>
      </c>
      <c r="C967" s="79">
        <v>-70</v>
      </c>
      <c r="D967" s="14" t="s">
        <v>148</v>
      </c>
      <c r="E967" s="5" t="s">
        <v>118</v>
      </c>
      <c r="F967" s="5" t="s">
        <v>38</v>
      </c>
      <c r="G967" s="5" t="s">
        <v>50</v>
      </c>
    </row>
    <row r="968" spans="2:7" ht="18" hidden="1">
      <c r="B968" s="55">
        <v>46124</v>
      </c>
      <c r="C968" s="79">
        <v>-45</v>
      </c>
      <c r="D968" s="14" t="s">
        <v>147</v>
      </c>
      <c r="E968" s="5" t="s">
        <v>118</v>
      </c>
      <c r="F968" s="5" t="s">
        <v>53</v>
      </c>
      <c r="G968" s="5" t="s">
        <v>55</v>
      </c>
    </row>
    <row r="969" spans="2:7" ht="18" hidden="1">
      <c r="B969" s="55">
        <v>46126</v>
      </c>
      <c r="C969" s="79">
        <v>-20</v>
      </c>
      <c r="D969" s="14" t="s">
        <v>147</v>
      </c>
      <c r="E969" s="5" t="s">
        <v>118</v>
      </c>
      <c r="F969" s="5" t="s">
        <v>38</v>
      </c>
      <c r="G969" s="5" t="s">
        <v>50</v>
      </c>
    </row>
    <row r="970" spans="2:7" ht="18" hidden="1">
      <c r="B970" s="55">
        <v>46126</v>
      </c>
      <c r="C970" s="79">
        <v>-35</v>
      </c>
      <c r="D970" s="14" t="s">
        <v>147</v>
      </c>
      <c r="E970" s="5" t="s">
        <v>118</v>
      </c>
      <c r="F970" s="5" t="s">
        <v>38</v>
      </c>
      <c r="G970" s="5" t="s">
        <v>50</v>
      </c>
    </row>
    <row r="971" spans="2:7" ht="18" hidden="1">
      <c r="B971" s="55">
        <v>46126</v>
      </c>
      <c r="C971" s="79">
        <v>-8</v>
      </c>
      <c r="D971" s="14" t="s">
        <v>147</v>
      </c>
      <c r="E971" s="5" t="s">
        <v>118</v>
      </c>
      <c r="F971" s="5" t="s">
        <v>53</v>
      </c>
      <c r="G971" s="5" t="s">
        <v>56</v>
      </c>
    </row>
    <row r="972" spans="2:7" ht="18" hidden="1">
      <c r="B972" s="55">
        <v>46126</v>
      </c>
      <c r="C972" s="79">
        <v>-3</v>
      </c>
      <c r="D972" s="14" t="s">
        <v>95</v>
      </c>
      <c r="E972" s="5" t="s">
        <v>118</v>
      </c>
      <c r="F972" s="5" t="s">
        <v>38</v>
      </c>
      <c r="G972" s="5" t="s">
        <v>50</v>
      </c>
    </row>
    <row r="973" spans="2:7" ht="18" hidden="1">
      <c r="B973" s="55">
        <v>46126</v>
      </c>
      <c r="C973" s="79">
        <v>-3</v>
      </c>
      <c r="D973" s="14" t="s">
        <v>95</v>
      </c>
      <c r="E973" s="5" t="s">
        <v>118</v>
      </c>
      <c r="F973" s="5" t="s">
        <v>53</v>
      </c>
      <c r="G973" s="5" t="s">
        <v>55</v>
      </c>
    </row>
    <row r="974" spans="2:7" ht="18" hidden="1">
      <c r="B974" s="55">
        <v>46126</v>
      </c>
      <c r="C974" s="79">
        <v>-25</v>
      </c>
      <c r="D974" s="14" t="s">
        <v>148</v>
      </c>
      <c r="E974" s="5" t="s">
        <v>118</v>
      </c>
      <c r="F974" s="5" t="s">
        <v>53</v>
      </c>
      <c r="G974" s="5" t="s">
        <v>55</v>
      </c>
    </row>
    <row r="975" spans="2:7" ht="18" hidden="1">
      <c r="B975" s="55">
        <v>46126</v>
      </c>
      <c r="C975" s="79">
        <v>1500</v>
      </c>
      <c r="D975" s="14" t="s">
        <v>147</v>
      </c>
      <c r="E975" s="5" t="s">
        <v>34</v>
      </c>
      <c r="F975" s="5" t="s">
        <v>35</v>
      </c>
      <c r="G975" s="5" t="s">
        <v>39</v>
      </c>
    </row>
    <row r="976" spans="2:7" ht="18" hidden="1">
      <c r="B976" s="55">
        <v>46127</v>
      </c>
      <c r="C976" s="79">
        <v>-40</v>
      </c>
      <c r="D976" s="14" t="s">
        <v>147</v>
      </c>
      <c r="E976" s="5" t="s">
        <v>118</v>
      </c>
      <c r="F976" s="5" t="s">
        <v>38</v>
      </c>
      <c r="G976" s="5" t="s">
        <v>50</v>
      </c>
    </row>
    <row r="977" spans="2:7" ht="18" hidden="1">
      <c r="B977" s="55">
        <v>46127</v>
      </c>
      <c r="C977" s="79">
        <v>-107</v>
      </c>
      <c r="D977" s="14" t="s">
        <v>147</v>
      </c>
      <c r="E977" s="5" t="s">
        <v>118</v>
      </c>
      <c r="F977" s="5" t="s">
        <v>53</v>
      </c>
      <c r="G977" s="5" t="s">
        <v>56</v>
      </c>
    </row>
    <row r="978" spans="2:7" ht="18" hidden="1">
      <c r="B978" s="55">
        <v>46127</v>
      </c>
      <c r="C978" s="79">
        <v>-27.5</v>
      </c>
      <c r="D978" s="14" t="s">
        <v>147</v>
      </c>
      <c r="E978" s="5" t="s">
        <v>118</v>
      </c>
      <c r="F978" s="5" t="s">
        <v>53</v>
      </c>
      <c r="G978" s="5" t="s">
        <v>56</v>
      </c>
    </row>
    <row r="979" spans="2:7" ht="18" hidden="1">
      <c r="B979" s="55">
        <v>46127</v>
      </c>
      <c r="C979" s="79">
        <v>-27.5</v>
      </c>
      <c r="D979" s="14" t="s">
        <v>147</v>
      </c>
      <c r="E979" s="5" t="s">
        <v>118</v>
      </c>
      <c r="F979" s="5" t="s">
        <v>53</v>
      </c>
      <c r="G979" s="5" t="s">
        <v>55</v>
      </c>
    </row>
    <row r="980" spans="2:7" ht="18" hidden="1">
      <c r="B980" s="55">
        <v>46128</v>
      </c>
      <c r="C980" s="79">
        <v>-20</v>
      </c>
      <c r="D980" s="14" t="s">
        <v>148</v>
      </c>
      <c r="E980" s="5" t="s">
        <v>118</v>
      </c>
      <c r="F980" s="5" t="s">
        <v>38</v>
      </c>
      <c r="G980" s="5" t="s">
        <v>50</v>
      </c>
    </row>
    <row r="981" spans="2:7" ht="18" hidden="1">
      <c r="B981" s="55">
        <v>46127</v>
      </c>
      <c r="C981" s="79">
        <v>-30</v>
      </c>
      <c r="D981" s="14" t="s">
        <v>148</v>
      </c>
      <c r="E981" s="5" t="s">
        <v>118</v>
      </c>
      <c r="F981" s="5" t="s">
        <v>63</v>
      </c>
      <c r="G981" s="5" t="s">
        <v>65</v>
      </c>
    </row>
    <row r="982" spans="2:7" ht="18" hidden="1">
      <c r="B982" s="55">
        <v>46128</v>
      </c>
      <c r="C982" s="79">
        <v>-35</v>
      </c>
      <c r="D982" s="14" t="s">
        <v>148</v>
      </c>
      <c r="E982" s="5" t="s">
        <v>118</v>
      </c>
      <c r="F982" s="5" t="s">
        <v>53</v>
      </c>
      <c r="G982" s="5" t="s">
        <v>55</v>
      </c>
    </row>
    <row r="983" spans="2:7" ht="18" hidden="1">
      <c r="B983" s="55">
        <v>46128</v>
      </c>
      <c r="C983" s="79">
        <v>-899</v>
      </c>
      <c r="D983" s="14" t="s">
        <v>148</v>
      </c>
      <c r="E983" s="5" t="s">
        <v>118</v>
      </c>
      <c r="F983" s="5" t="s">
        <v>38</v>
      </c>
      <c r="G983" s="5" t="s">
        <v>50</v>
      </c>
    </row>
    <row r="984" spans="2:7" ht="18" hidden="1">
      <c r="B984" s="55">
        <v>46129</v>
      </c>
      <c r="C984" s="79">
        <v>-60</v>
      </c>
      <c r="D984" s="14" t="s">
        <v>148</v>
      </c>
      <c r="E984" s="5" t="s">
        <v>118</v>
      </c>
      <c r="F984" s="5" t="s">
        <v>53</v>
      </c>
      <c r="G984" s="5" t="s">
        <v>56</v>
      </c>
    </row>
    <row r="985" spans="2:7" ht="18" hidden="1">
      <c r="B985" s="55">
        <v>46129</v>
      </c>
      <c r="C985" s="79">
        <v>-21</v>
      </c>
      <c r="D985" s="14" t="s">
        <v>148</v>
      </c>
      <c r="E985" s="5" t="s">
        <v>118</v>
      </c>
      <c r="F985" s="5" t="s">
        <v>53</v>
      </c>
      <c r="G985" s="5" t="s">
        <v>55</v>
      </c>
    </row>
    <row r="986" spans="2:7" ht="18" hidden="1">
      <c r="B986" s="55">
        <v>46129</v>
      </c>
      <c r="C986" s="79">
        <v>-740</v>
      </c>
      <c r="D986" s="14" t="s">
        <v>148</v>
      </c>
      <c r="E986" s="5" t="s">
        <v>118</v>
      </c>
      <c r="F986" s="5" t="s">
        <v>53</v>
      </c>
      <c r="G986" s="5" t="s">
        <v>56</v>
      </c>
    </row>
    <row r="987" spans="2:7" ht="18" hidden="1">
      <c r="B987" s="55">
        <v>46130</v>
      </c>
      <c r="C987" s="79">
        <v>-50</v>
      </c>
      <c r="D987" s="14" t="s">
        <v>147</v>
      </c>
      <c r="E987" s="5" t="s">
        <v>118</v>
      </c>
      <c r="F987" s="5" t="s">
        <v>38</v>
      </c>
      <c r="G987" s="5" t="s">
        <v>50</v>
      </c>
    </row>
    <row r="988" spans="2:7" ht="18" hidden="1">
      <c r="B988" s="55">
        <v>46130</v>
      </c>
      <c r="C988" s="79">
        <v>-319</v>
      </c>
      <c r="D988" s="14" t="s">
        <v>148</v>
      </c>
      <c r="E988" s="5" t="s">
        <v>118</v>
      </c>
      <c r="F988" s="5" t="s">
        <v>53</v>
      </c>
      <c r="G988" s="5" t="s">
        <v>56</v>
      </c>
    </row>
    <row r="989" spans="2:7" ht="18" hidden="1">
      <c r="B989" s="55">
        <v>46130</v>
      </c>
      <c r="C989" s="79">
        <v>-12</v>
      </c>
      <c r="D989" s="14" t="s">
        <v>148</v>
      </c>
      <c r="E989" s="5" t="s">
        <v>118</v>
      </c>
      <c r="F989" s="5" t="s">
        <v>53</v>
      </c>
      <c r="G989" s="5" t="s">
        <v>56</v>
      </c>
    </row>
    <row r="990" spans="2:7" ht="18" hidden="1">
      <c r="B990" s="55">
        <v>46132</v>
      </c>
      <c r="C990" s="79">
        <v>-15</v>
      </c>
      <c r="D990" s="14" t="s">
        <v>148</v>
      </c>
      <c r="E990" s="5" t="s">
        <v>118</v>
      </c>
      <c r="F990" s="5" t="s">
        <v>53</v>
      </c>
      <c r="G990" s="5" t="s">
        <v>56</v>
      </c>
    </row>
    <row r="991" spans="2:7" ht="18" hidden="1">
      <c r="B991" s="55">
        <v>46132</v>
      </c>
      <c r="C991" s="79">
        <v>-69</v>
      </c>
      <c r="D991" s="14" t="s">
        <v>148</v>
      </c>
      <c r="E991" s="5" t="s">
        <v>118</v>
      </c>
      <c r="F991" s="5" t="s">
        <v>53</v>
      </c>
      <c r="G991" s="5" t="s">
        <v>55</v>
      </c>
    </row>
    <row r="992" spans="2:7" ht="18" hidden="1">
      <c r="B992" s="55">
        <v>46134</v>
      </c>
      <c r="C992" s="79">
        <v>-20</v>
      </c>
      <c r="D992" s="14" t="s">
        <v>148</v>
      </c>
      <c r="E992" s="5" t="s">
        <v>118</v>
      </c>
      <c r="F992" s="5" t="s">
        <v>38</v>
      </c>
      <c r="G992" s="5" t="s">
        <v>50</v>
      </c>
    </row>
    <row r="993" spans="2:7" ht="18" hidden="1">
      <c r="B993" s="55">
        <v>46134</v>
      </c>
      <c r="C993" s="79">
        <v>-20</v>
      </c>
      <c r="D993" s="14" t="s">
        <v>148</v>
      </c>
      <c r="E993" s="5" t="s">
        <v>118</v>
      </c>
      <c r="F993" s="5" t="s">
        <v>53</v>
      </c>
      <c r="G993" s="5" t="s">
        <v>56</v>
      </c>
    </row>
    <row r="994" spans="2:7" ht="18" hidden="1">
      <c r="B994" s="55">
        <v>46134</v>
      </c>
      <c r="C994" s="79">
        <v>-60.741</v>
      </c>
      <c r="D994" s="14" t="s">
        <v>148</v>
      </c>
      <c r="E994" s="5" t="s">
        <v>118</v>
      </c>
      <c r="F994" s="5" t="s">
        <v>38</v>
      </c>
      <c r="G994" s="5" t="s">
        <v>50</v>
      </c>
    </row>
    <row r="995" spans="2:7" ht="18" hidden="1">
      <c r="B995" s="55">
        <v>46134</v>
      </c>
      <c r="C995" s="79">
        <v>3000</v>
      </c>
      <c r="D995" s="14" t="s">
        <v>147</v>
      </c>
      <c r="E995" s="5" t="s">
        <v>34</v>
      </c>
      <c r="F995" s="5" t="s">
        <v>35</v>
      </c>
      <c r="G995" s="5" t="s">
        <v>39</v>
      </c>
    </row>
    <row r="996" spans="2:7" ht="18" hidden="1">
      <c r="B996" s="55">
        <v>46134</v>
      </c>
      <c r="C996" s="79">
        <v>-5</v>
      </c>
      <c r="D996" s="14" t="s">
        <v>95</v>
      </c>
      <c r="E996" s="5" t="s">
        <v>118</v>
      </c>
      <c r="F996" s="5" t="s">
        <v>38</v>
      </c>
      <c r="G996" s="5" t="s">
        <v>50</v>
      </c>
    </row>
    <row r="997" spans="2:7" ht="18" hidden="1">
      <c r="B997" s="55">
        <v>46135</v>
      </c>
      <c r="C997" s="79">
        <v>-3</v>
      </c>
      <c r="D997" s="14" t="s">
        <v>95</v>
      </c>
      <c r="E997" s="5" t="s">
        <v>118</v>
      </c>
      <c r="F997" s="5" t="s">
        <v>38</v>
      </c>
      <c r="G997" s="5" t="s">
        <v>50</v>
      </c>
    </row>
    <row r="998" spans="2:7" ht="18" hidden="1">
      <c r="B998" s="55">
        <v>46135</v>
      </c>
      <c r="C998" s="79">
        <v>-150</v>
      </c>
      <c r="D998" s="14" t="s">
        <v>148</v>
      </c>
      <c r="E998" s="5" t="s">
        <v>118</v>
      </c>
      <c r="F998" s="5" t="s">
        <v>53</v>
      </c>
      <c r="G998" s="5" t="s">
        <v>56</v>
      </c>
    </row>
    <row r="999" spans="2:7" ht="18" hidden="1">
      <c r="B999" s="55">
        <v>46136</v>
      </c>
      <c r="C999" s="79">
        <v>-47.5</v>
      </c>
      <c r="D999" s="14" t="s">
        <v>148</v>
      </c>
      <c r="E999" s="5" t="s">
        <v>118</v>
      </c>
      <c r="F999" s="5" t="s">
        <v>53</v>
      </c>
      <c r="G999" s="5" t="s">
        <v>56</v>
      </c>
    </row>
    <row r="1000" spans="2:7" ht="18" hidden="1">
      <c r="B1000" s="55">
        <v>46136</v>
      </c>
      <c r="C1000" s="79">
        <v>-72.5</v>
      </c>
      <c r="D1000" s="14" t="s">
        <v>148</v>
      </c>
      <c r="E1000" s="5" t="s">
        <v>118</v>
      </c>
      <c r="F1000" s="5" t="s">
        <v>53</v>
      </c>
      <c r="G1000" s="5" t="s">
        <v>55</v>
      </c>
    </row>
    <row r="1001" spans="2:7" ht="18" hidden="1">
      <c r="B1001" s="55">
        <v>46136</v>
      </c>
      <c r="C1001" s="79">
        <v>-60</v>
      </c>
      <c r="D1001" s="14" t="s">
        <v>148</v>
      </c>
      <c r="E1001" s="5" t="s">
        <v>118</v>
      </c>
      <c r="F1001" s="5" t="s">
        <v>38</v>
      </c>
      <c r="G1001" s="5" t="s">
        <v>50</v>
      </c>
    </row>
    <row r="1002" spans="2:7" ht="18" hidden="1">
      <c r="B1002" s="55">
        <v>46136</v>
      </c>
      <c r="C1002" s="79">
        <v>-50</v>
      </c>
      <c r="D1002" s="14" t="s">
        <v>147</v>
      </c>
      <c r="E1002" s="5" t="s">
        <v>118</v>
      </c>
      <c r="F1002" s="5" t="s">
        <v>63</v>
      </c>
      <c r="G1002" s="5" t="s">
        <v>65</v>
      </c>
    </row>
    <row r="1003" spans="2:7" ht="18" hidden="1">
      <c r="B1003" s="55">
        <v>46137</v>
      </c>
      <c r="C1003" s="79">
        <v>-26</v>
      </c>
      <c r="D1003" s="14" t="s">
        <v>147</v>
      </c>
      <c r="E1003" s="5" t="s">
        <v>118</v>
      </c>
      <c r="F1003" s="5" t="s">
        <v>53</v>
      </c>
      <c r="G1003" s="5" t="s">
        <v>56</v>
      </c>
    </row>
    <row r="1004" spans="2:7" ht="18" hidden="1">
      <c r="B1004" s="55">
        <v>46138</v>
      </c>
      <c r="C1004" s="79">
        <v>0.109</v>
      </c>
      <c r="D1004" s="14" t="s">
        <v>148</v>
      </c>
      <c r="E1004" s="5" t="s">
        <v>34</v>
      </c>
      <c r="F1004" s="5" t="s">
        <v>36</v>
      </c>
      <c r="G1004" s="5" t="s">
        <v>42</v>
      </c>
    </row>
    <row r="1005" spans="2:7" ht="18" hidden="1">
      <c r="B1005" s="55">
        <v>46138</v>
      </c>
      <c r="C1005" s="79">
        <v>-50</v>
      </c>
      <c r="D1005" s="14" t="s">
        <v>148</v>
      </c>
      <c r="E1005" s="5" t="s">
        <v>118</v>
      </c>
      <c r="F1005" s="5" t="s">
        <v>38</v>
      </c>
      <c r="G1005" s="5" t="s">
        <v>50</v>
      </c>
    </row>
    <row r="1006" spans="2:7" ht="18" hidden="1">
      <c r="B1006" s="55">
        <v>46139</v>
      </c>
      <c r="C1006" s="79">
        <v>50</v>
      </c>
      <c r="D1006" s="14" t="s">
        <v>147</v>
      </c>
      <c r="E1006" s="5" t="s">
        <v>34</v>
      </c>
      <c r="F1006" s="5" t="s">
        <v>36</v>
      </c>
      <c r="G1006" s="5" t="s">
        <v>42</v>
      </c>
    </row>
    <row r="1007" spans="2:7" ht="18" hidden="1">
      <c r="B1007" s="55">
        <v>46139</v>
      </c>
      <c r="C1007" s="79">
        <v>-26</v>
      </c>
      <c r="D1007" s="14" t="s">
        <v>147</v>
      </c>
      <c r="E1007" s="5" t="s">
        <v>118</v>
      </c>
      <c r="F1007" s="5" t="s">
        <v>53</v>
      </c>
      <c r="G1007" s="5" t="s">
        <v>55</v>
      </c>
    </row>
    <row r="1008" spans="2:7" ht="18" hidden="1">
      <c r="B1008" s="55">
        <v>46139</v>
      </c>
      <c r="C1008" s="79">
        <v>-200</v>
      </c>
      <c r="D1008" s="14" t="s">
        <v>148</v>
      </c>
      <c r="E1008" s="5" t="s">
        <v>118</v>
      </c>
      <c r="F1008" s="5" t="s">
        <v>38</v>
      </c>
      <c r="G1008" s="5" t="s">
        <v>48</v>
      </c>
    </row>
    <row r="1009" spans="2:7" ht="18" hidden="1">
      <c r="B1009" s="55">
        <v>46140</v>
      </c>
      <c r="C1009" s="79">
        <v>-40</v>
      </c>
      <c r="D1009" s="14" t="s">
        <v>148</v>
      </c>
      <c r="E1009" s="5" t="s">
        <v>118</v>
      </c>
      <c r="F1009" s="5" t="s">
        <v>53</v>
      </c>
      <c r="G1009" s="5" t="s">
        <v>56</v>
      </c>
    </row>
    <row r="1010" spans="2:7" ht="18" hidden="1">
      <c r="B1010" s="55">
        <v>46141</v>
      </c>
      <c r="C1010" s="79">
        <v>-25</v>
      </c>
      <c r="D1010" s="14" t="s">
        <v>147</v>
      </c>
      <c r="E1010" s="5" t="s">
        <v>118</v>
      </c>
      <c r="F1010" s="5" t="s">
        <v>53</v>
      </c>
      <c r="G1010" s="5" t="s">
        <v>56</v>
      </c>
    </row>
    <row r="1011" spans="2:7" ht="18" hidden="1">
      <c r="B1011" s="55">
        <v>46141</v>
      </c>
      <c r="C1011" s="79">
        <v>-55</v>
      </c>
      <c r="D1011" s="14" t="s">
        <v>148</v>
      </c>
      <c r="E1011" s="5" t="s">
        <v>118</v>
      </c>
      <c r="F1011" s="5" t="s">
        <v>38</v>
      </c>
      <c r="G1011" s="5" t="s">
        <v>50</v>
      </c>
    </row>
    <row r="1012" spans="2:7" ht="18" hidden="1">
      <c r="B1012" s="55">
        <v>46141</v>
      </c>
      <c r="C1012" s="79">
        <v>-30</v>
      </c>
      <c r="D1012" s="14" t="s">
        <v>147</v>
      </c>
      <c r="E1012" s="5" t="s">
        <v>118</v>
      </c>
      <c r="F1012" s="5" t="s">
        <v>53</v>
      </c>
      <c r="G1012" s="5" t="s">
        <v>56</v>
      </c>
    </row>
    <row r="1013" spans="2:7" ht="18" hidden="1">
      <c r="B1013" s="55">
        <v>46141</v>
      </c>
      <c r="C1013" s="79">
        <v>-14</v>
      </c>
      <c r="D1013" s="14" t="s">
        <v>147</v>
      </c>
      <c r="E1013" s="5" t="s">
        <v>118</v>
      </c>
      <c r="F1013" s="5" t="s">
        <v>53</v>
      </c>
      <c r="G1013" s="5" t="s">
        <v>56</v>
      </c>
    </row>
    <row r="1014" spans="2:7" ht="18" hidden="1">
      <c r="B1014" s="55">
        <v>46142</v>
      </c>
      <c r="C1014" s="79">
        <v>-40</v>
      </c>
      <c r="D1014" s="14" t="s">
        <v>148</v>
      </c>
      <c r="E1014" s="5" t="s">
        <v>118</v>
      </c>
      <c r="F1014" s="5" t="s">
        <v>53</v>
      </c>
      <c r="G1014" s="5" t="s">
        <v>56</v>
      </c>
    </row>
    <row r="1015" spans="2:7" ht="18" hidden="1">
      <c r="B1015" s="55">
        <v>46144</v>
      </c>
      <c r="C1015" s="79">
        <v>-10</v>
      </c>
      <c r="D1015" s="14" t="s">
        <v>147</v>
      </c>
      <c r="E1015" s="5" t="s">
        <v>118</v>
      </c>
      <c r="F1015" s="5" t="s">
        <v>38</v>
      </c>
      <c r="G1015" s="5" t="s">
        <v>51</v>
      </c>
    </row>
    <row r="1016" spans="2:7" ht="18" hidden="1">
      <c r="B1016" s="55">
        <v>46144</v>
      </c>
      <c r="C1016" s="79">
        <v>-159</v>
      </c>
      <c r="D1016" s="14" t="s">
        <v>148</v>
      </c>
      <c r="E1016" s="5" t="s">
        <v>118</v>
      </c>
      <c r="F1016" s="5" t="s">
        <v>53</v>
      </c>
      <c r="G1016" s="5" t="s">
        <v>56</v>
      </c>
    </row>
    <row r="1017" spans="2:7" ht="18" hidden="1">
      <c r="B1017" s="55">
        <v>46144</v>
      </c>
      <c r="C1017" s="79">
        <v>-65.001999999999995</v>
      </c>
      <c r="D1017" s="14" t="s">
        <v>148</v>
      </c>
      <c r="E1017" s="5" t="s">
        <v>118</v>
      </c>
      <c r="F1017" s="5" t="s">
        <v>38</v>
      </c>
      <c r="G1017" s="5" t="s">
        <v>51</v>
      </c>
    </row>
    <row r="1018" spans="2:7" ht="18" hidden="1">
      <c r="B1018" s="55">
        <v>46146</v>
      </c>
      <c r="C1018" s="79">
        <v>-75.185000000000002</v>
      </c>
      <c r="D1018" s="14" t="s">
        <v>148</v>
      </c>
      <c r="E1018" s="5" t="s">
        <v>118</v>
      </c>
      <c r="F1018" s="5" t="s">
        <v>38</v>
      </c>
      <c r="G1018" s="5" t="s">
        <v>48</v>
      </c>
    </row>
    <row r="1019" spans="2:7" ht="18" hidden="1">
      <c r="B1019" s="55">
        <v>46146</v>
      </c>
      <c r="C1019" s="79">
        <v>2</v>
      </c>
      <c r="D1019" s="14" t="s">
        <v>147</v>
      </c>
      <c r="E1019" s="5" t="s">
        <v>34</v>
      </c>
      <c r="F1019" s="5" t="s">
        <v>35</v>
      </c>
      <c r="G1019" s="5" t="s">
        <v>39</v>
      </c>
    </row>
    <row r="1020" spans="2:7" ht="18" hidden="1">
      <c r="B1020" s="55">
        <v>46147</v>
      </c>
      <c r="C1020" s="79">
        <v>-2</v>
      </c>
      <c r="D1020" s="14" t="s">
        <v>95</v>
      </c>
      <c r="E1020" s="5" t="s">
        <v>118</v>
      </c>
      <c r="F1020" s="5" t="s">
        <v>38</v>
      </c>
      <c r="G1020" s="5" t="s">
        <v>50</v>
      </c>
    </row>
    <row r="1021" spans="2:7" ht="18" hidden="1">
      <c r="B1021" s="55">
        <v>46147</v>
      </c>
      <c r="C1021" s="79">
        <v>155</v>
      </c>
      <c r="D1021" s="14" t="s">
        <v>147</v>
      </c>
      <c r="E1021" s="5" t="s">
        <v>34</v>
      </c>
      <c r="F1021" s="5" t="s">
        <v>36</v>
      </c>
      <c r="G1021" s="5" t="s">
        <v>42</v>
      </c>
    </row>
    <row r="1022" spans="2:7" ht="18" hidden="1">
      <c r="B1022" s="55">
        <v>46148</v>
      </c>
      <c r="C1022" s="79">
        <v>-50</v>
      </c>
      <c r="D1022" s="14" t="s">
        <v>148</v>
      </c>
      <c r="E1022" s="5" t="s">
        <v>118</v>
      </c>
      <c r="F1022" s="5" t="s">
        <v>53</v>
      </c>
      <c r="G1022" s="5" t="s">
        <v>56</v>
      </c>
    </row>
    <row r="1023" spans="2:7" ht="18" hidden="1">
      <c r="B1023" s="55">
        <v>46148</v>
      </c>
      <c r="C1023" s="79">
        <v>-50</v>
      </c>
      <c r="D1023" s="14" t="s">
        <v>148</v>
      </c>
      <c r="E1023" s="5" t="s">
        <v>118</v>
      </c>
      <c r="F1023" s="5" t="s">
        <v>53</v>
      </c>
      <c r="G1023" s="5" t="s">
        <v>55</v>
      </c>
    </row>
    <row r="1024" spans="2:7" ht="18" hidden="1">
      <c r="B1024" s="55">
        <v>46149</v>
      </c>
      <c r="C1024" s="79">
        <v>-20</v>
      </c>
      <c r="D1024" s="14" t="s">
        <v>148</v>
      </c>
      <c r="E1024" s="5" t="s">
        <v>118</v>
      </c>
      <c r="F1024" s="5" t="s">
        <v>53</v>
      </c>
      <c r="G1024" s="5" t="s">
        <v>55</v>
      </c>
    </row>
    <row r="1025" spans="2:7" ht="18" hidden="1">
      <c r="B1025" s="55">
        <v>46149</v>
      </c>
      <c r="C1025" s="79">
        <v>-380</v>
      </c>
      <c r="D1025" s="14" t="s">
        <v>148</v>
      </c>
      <c r="E1025" s="5" t="s">
        <v>118</v>
      </c>
      <c r="F1025" s="5" t="s">
        <v>53</v>
      </c>
      <c r="G1025" s="5" t="s">
        <v>55</v>
      </c>
    </row>
    <row r="1026" spans="2:7" ht="18" hidden="1">
      <c r="B1026" s="55">
        <v>46150</v>
      </c>
      <c r="C1026" s="79">
        <v>-20</v>
      </c>
      <c r="D1026" s="14" t="s">
        <v>147</v>
      </c>
      <c r="E1026" s="5" t="s">
        <v>118</v>
      </c>
      <c r="F1026" s="5" t="s">
        <v>53</v>
      </c>
      <c r="G1026" s="5" t="s">
        <v>55</v>
      </c>
    </row>
    <row r="1027" spans="2:7" ht="18" hidden="1">
      <c r="B1027" s="55">
        <v>46150</v>
      </c>
      <c r="C1027" s="79">
        <v>-20</v>
      </c>
      <c r="D1027" s="14" t="s">
        <v>148</v>
      </c>
      <c r="E1027" s="5" t="s">
        <v>118</v>
      </c>
      <c r="F1027" s="5" t="s">
        <v>53</v>
      </c>
      <c r="G1027" s="5" t="s">
        <v>55</v>
      </c>
    </row>
    <row r="1028" spans="2:7" ht="18" hidden="1">
      <c r="B1028" s="55">
        <v>46150</v>
      </c>
      <c r="C1028" s="79">
        <v>-35</v>
      </c>
      <c r="D1028" s="14" t="s">
        <v>148</v>
      </c>
      <c r="E1028" s="5" t="s">
        <v>118</v>
      </c>
      <c r="F1028" s="5" t="s">
        <v>53</v>
      </c>
      <c r="G1028" s="5" t="s">
        <v>55</v>
      </c>
    </row>
    <row r="1029" spans="2:7" ht="18" hidden="1">
      <c r="B1029" s="55">
        <v>46150</v>
      </c>
      <c r="C1029" s="79">
        <v>-190</v>
      </c>
      <c r="D1029" s="14" t="s">
        <v>148</v>
      </c>
      <c r="E1029" s="5" t="s">
        <v>118</v>
      </c>
      <c r="F1029" s="5" t="s">
        <v>38</v>
      </c>
      <c r="G1029" s="5" t="s">
        <v>48</v>
      </c>
    </row>
    <row r="1030" spans="2:7" ht="18" hidden="1">
      <c r="B1030" s="55">
        <v>46151</v>
      </c>
      <c r="C1030" s="79">
        <v>-60.212000000000003</v>
      </c>
      <c r="D1030" s="14" t="s">
        <v>148</v>
      </c>
      <c r="E1030" s="5" t="s">
        <v>118</v>
      </c>
      <c r="F1030" s="5" t="s">
        <v>38</v>
      </c>
      <c r="G1030" s="5" t="s">
        <v>50</v>
      </c>
    </row>
    <row r="1031" spans="2:7" ht="18" hidden="1">
      <c r="B1031" s="55">
        <v>46150</v>
      </c>
      <c r="C1031" s="79">
        <v>-3</v>
      </c>
      <c r="D1031" s="14" t="s">
        <v>95</v>
      </c>
      <c r="E1031" s="5" t="s">
        <v>118</v>
      </c>
      <c r="F1031" s="5" t="s">
        <v>38</v>
      </c>
      <c r="G1031" s="5" t="s">
        <v>50</v>
      </c>
    </row>
    <row r="1032" spans="2:7" ht="18" hidden="1">
      <c r="B1032" s="55">
        <v>46150</v>
      </c>
      <c r="C1032" s="79">
        <v>-3</v>
      </c>
      <c r="D1032" s="14" t="s">
        <v>95</v>
      </c>
      <c r="E1032" s="5" t="s">
        <v>118</v>
      </c>
      <c r="F1032" s="5" t="s">
        <v>38</v>
      </c>
      <c r="G1032" s="5" t="s">
        <v>50</v>
      </c>
    </row>
    <row r="1033" spans="2:7" ht="18" hidden="1">
      <c r="B1033" s="55">
        <v>46151</v>
      </c>
      <c r="C1033" s="79">
        <v>-6</v>
      </c>
      <c r="D1033" s="14" t="s">
        <v>95</v>
      </c>
      <c r="E1033" s="5" t="s">
        <v>118</v>
      </c>
      <c r="F1033" s="5" t="s">
        <v>53</v>
      </c>
      <c r="G1033" s="5" t="s">
        <v>56</v>
      </c>
    </row>
    <row r="1034" spans="2:7" ht="18" hidden="1">
      <c r="B1034" s="55">
        <v>46151</v>
      </c>
      <c r="C1034" s="79">
        <v>-30</v>
      </c>
      <c r="D1034" s="14" t="s">
        <v>147</v>
      </c>
      <c r="E1034" s="5" t="s">
        <v>118</v>
      </c>
      <c r="F1034" s="5" t="s">
        <v>53</v>
      </c>
      <c r="G1034" s="5" t="s">
        <v>56</v>
      </c>
    </row>
    <row r="1035" spans="2:7" ht="18" hidden="1">
      <c r="B1035" s="55">
        <v>46151</v>
      </c>
      <c r="C1035" s="79">
        <v>-7</v>
      </c>
      <c r="D1035" s="14" t="s">
        <v>147</v>
      </c>
      <c r="E1035" s="5" t="s">
        <v>118</v>
      </c>
      <c r="F1035" s="5" t="s">
        <v>53</v>
      </c>
      <c r="G1035" s="5" t="s">
        <v>55</v>
      </c>
    </row>
    <row r="1036" spans="2:7" ht="18" hidden="1">
      <c r="B1036" s="55">
        <v>46152</v>
      </c>
      <c r="C1036" s="79">
        <v>-6</v>
      </c>
      <c r="D1036" s="14" t="s">
        <v>147</v>
      </c>
      <c r="E1036" s="5" t="s">
        <v>118</v>
      </c>
      <c r="F1036" s="5" t="s">
        <v>53</v>
      </c>
      <c r="G1036" s="5" t="s">
        <v>56</v>
      </c>
    </row>
    <row r="1037" spans="2:7" ht="18" hidden="1">
      <c r="B1037" s="55">
        <v>46152</v>
      </c>
      <c r="C1037" s="79">
        <v>-15</v>
      </c>
      <c r="D1037" s="14" t="s">
        <v>147</v>
      </c>
      <c r="E1037" s="5" t="s">
        <v>118</v>
      </c>
      <c r="F1037" s="5" t="s">
        <v>53</v>
      </c>
      <c r="G1037" s="5" t="s">
        <v>55</v>
      </c>
    </row>
    <row r="1038" spans="2:7" ht="18" hidden="1">
      <c r="B1038" s="55">
        <v>46152</v>
      </c>
      <c r="C1038" s="79">
        <v>-55</v>
      </c>
      <c r="D1038" s="14" t="s">
        <v>148</v>
      </c>
      <c r="E1038" s="5" t="s">
        <v>118</v>
      </c>
      <c r="F1038" s="5" t="s">
        <v>53</v>
      </c>
      <c r="G1038" s="5" t="s">
        <v>56</v>
      </c>
    </row>
    <row r="1039" spans="2:7" ht="18" hidden="1">
      <c r="B1039" s="55">
        <v>46152</v>
      </c>
      <c r="C1039" s="79">
        <v>-55</v>
      </c>
      <c r="D1039" s="14" t="s">
        <v>148</v>
      </c>
      <c r="E1039" s="5" t="s">
        <v>118</v>
      </c>
      <c r="F1039" s="5" t="s">
        <v>53</v>
      </c>
      <c r="G1039" s="5" t="s">
        <v>55</v>
      </c>
    </row>
    <row r="1040" spans="2:7" ht="18" hidden="1">
      <c r="B1040" s="55">
        <v>46152</v>
      </c>
      <c r="C1040" s="79">
        <v>-214</v>
      </c>
      <c r="D1040" s="14" t="s">
        <v>148</v>
      </c>
      <c r="E1040" s="5" t="s">
        <v>118</v>
      </c>
      <c r="F1040" s="5" t="s">
        <v>38</v>
      </c>
      <c r="G1040" s="5" t="s">
        <v>48</v>
      </c>
    </row>
    <row r="1041" spans="2:7" ht="18" hidden="1">
      <c r="B1041" s="55">
        <v>46153</v>
      </c>
      <c r="C1041" s="79">
        <v>2000</v>
      </c>
      <c r="D1041" s="14" t="s">
        <v>147</v>
      </c>
      <c r="E1041" s="5" t="s">
        <v>34</v>
      </c>
      <c r="F1041" s="5" t="s">
        <v>35</v>
      </c>
      <c r="G1041" s="5" t="s">
        <v>39</v>
      </c>
    </row>
    <row r="1042" spans="2:7" ht="18" hidden="1">
      <c r="B1042" s="55">
        <v>46153</v>
      </c>
      <c r="C1042" s="79">
        <v>-65.319000000000003</v>
      </c>
      <c r="D1042" s="14" t="s">
        <v>148</v>
      </c>
      <c r="E1042" s="5" t="s">
        <v>118</v>
      </c>
      <c r="F1042" s="5" t="s">
        <v>53</v>
      </c>
      <c r="G1042" s="5" t="s">
        <v>56</v>
      </c>
    </row>
    <row r="1043" spans="2:7" ht="18" hidden="1">
      <c r="B1043" s="55">
        <v>46154</v>
      </c>
      <c r="C1043" s="79">
        <v>-40</v>
      </c>
      <c r="D1043" s="14" t="s">
        <v>147</v>
      </c>
      <c r="E1043" s="5" t="s">
        <v>118</v>
      </c>
      <c r="F1043" s="5" t="s">
        <v>53</v>
      </c>
      <c r="G1043" s="5" t="s">
        <v>55</v>
      </c>
    </row>
    <row r="1044" spans="2:7" ht="18" hidden="1">
      <c r="B1044" s="55">
        <v>46154</v>
      </c>
      <c r="C1044" s="79">
        <v>-45</v>
      </c>
      <c r="D1044" s="14" t="s">
        <v>147</v>
      </c>
      <c r="E1044" s="5" t="s">
        <v>118</v>
      </c>
      <c r="F1044" s="5" t="s">
        <v>53</v>
      </c>
      <c r="G1044" s="5" t="s">
        <v>56</v>
      </c>
    </row>
    <row r="1045" spans="2:7" ht="18" hidden="1">
      <c r="B1045" s="55">
        <v>46154</v>
      </c>
      <c r="C1045" s="79">
        <v>-232.99</v>
      </c>
      <c r="D1045" s="14" t="s">
        <v>147</v>
      </c>
      <c r="E1045" s="5" t="s">
        <v>118</v>
      </c>
      <c r="F1045" s="5" t="s">
        <v>53</v>
      </c>
      <c r="G1045" s="5" t="s">
        <v>55</v>
      </c>
    </row>
    <row r="1046" spans="2:7" ht="18" hidden="1">
      <c r="B1046" s="55">
        <v>46154</v>
      </c>
      <c r="C1046" s="79">
        <v>-120</v>
      </c>
      <c r="D1046" s="14" t="s">
        <v>147</v>
      </c>
      <c r="E1046" s="5" t="s">
        <v>118</v>
      </c>
      <c r="F1046" s="5" t="s">
        <v>53</v>
      </c>
      <c r="G1046" s="5" t="s">
        <v>56</v>
      </c>
    </row>
    <row r="1047" spans="2:7" ht="18" hidden="1">
      <c r="B1047" s="55">
        <v>46154</v>
      </c>
      <c r="C1047" s="79">
        <v>-25</v>
      </c>
      <c r="D1047" s="14" t="s">
        <v>147</v>
      </c>
      <c r="E1047" s="5" t="s">
        <v>118</v>
      </c>
      <c r="F1047" s="5" t="s">
        <v>53</v>
      </c>
      <c r="G1047" s="5" t="s">
        <v>56</v>
      </c>
    </row>
    <row r="1048" spans="2:7" ht="18" hidden="1">
      <c r="B1048" s="55">
        <v>46155</v>
      </c>
      <c r="C1048" s="79">
        <v>-64</v>
      </c>
      <c r="D1048" s="14" t="s">
        <v>147</v>
      </c>
      <c r="E1048" s="5" t="s">
        <v>118</v>
      </c>
      <c r="F1048" s="5" t="s">
        <v>53</v>
      </c>
      <c r="G1048" s="5" t="s">
        <v>56</v>
      </c>
    </row>
    <row r="1049" spans="2:7" ht="18" hidden="1">
      <c r="B1049" s="55">
        <v>46156</v>
      </c>
      <c r="C1049" s="79">
        <v>-2</v>
      </c>
      <c r="D1049" s="14" t="s">
        <v>95</v>
      </c>
      <c r="E1049" s="5" t="s">
        <v>118</v>
      </c>
      <c r="F1049" s="5" t="s">
        <v>53</v>
      </c>
      <c r="G1049" s="5" t="s">
        <v>55</v>
      </c>
    </row>
    <row r="1050" spans="2:7" ht="18" hidden="1">
      <c r="B1050" s="55">
        <v>46156</v>
      </c>
      <c r="C1050" s="79">
        <v>-2</v>
      </c>
      <c r="D1050" s="14" t="s">
        <v>95</v>
      </c>
      <c r="E1050" s="5" t="s">
        <v>118</v>
      </c>
      <c r="F1050" s="5" t="s">
        <v>38</v>
      </c>
      <c r="G1050" s="5" t="s">
        <v>50</v>
      </c>
    </row>
    <row r="1051" spans="2:7" ht="18" hidden="1">
      <c r="B1051" s="55">
        <v>46156</v>
      </c>
      <c r="C1051" s="79">
        <v>-10</v>
      </c>
      <c r="D1051" s="14" t="s">
        <v>147</v>
      </c>
      <c r="E1051" s="5" t="s">
        <v>118</v>
      </c>
      <c r="F1051" s="5" t="s">
        <v>53</v>
      </c>
      <c r="G1051" s="5" t="s">
        <v>55</v>
      </c>
    </row>
    <row r="1052" spans="2:7" ht="18" hidden="1">
      <c r="B1052" s="55">
        <v>46156</v>
      </c>
      <c r="C1052" s="79">
        <v>-120</v>
      </c>
      <c r="D1052" s="14" t="s">
        <v>147</v>
      </c>
      <c r="E1052" s="5" t="s">
        <v>118</v>
      </c>
      <c r="F1052" s="5" t="s">
        <v>53</v>
      </c>
      <c r="G1052" s="5" t="s">
        <v>55</v>
      </c>
    </row>
    <row r="1053" spans="2:7" ht="18" hidden="1">
      <c r="B1053" s="55">
        <v>46157</v>
      </c>
      <c r="C1053" s="79">
        <v>-15</v>
      </c>
      <c r="D1053" s="14" t="s">
        <v>147</v>
      </c>
      <c r="E1053" s="5" t="s">
        <v>118</v>
      </c>
      <c r="F1053" s="5" t="s">
        <v>38</v>
      </c>
      <c r="G1053" s="5" t="s">
        <v>50</v>
      </c>
    </row>
    <row r="1054" spans="2:7" ht="18" hidden="1">
      <c r="B1054" s="55">
        <v>46157</v>
      </c>
      <c r="C1054" s="79">
        <v>-227.98</v>
      </c>
      <c r="D1054" s="14" t="s">
        <v>147</v>
      </c>
      <c r="E1054" s="5" t="s">
        <v>118</v>
      </c>
      <c r="F1054" s="5" t="s">
        <v>38</v>
      </c>
      <c r="G1054" s="5" t="s">
        <v>48</v>
      </c>
    </row>
    <row r="1055" spans="2:7" ht="18" hidden="1">
      <c r="B1055" s="55">
        <v>46158</v>
      </c>
      <c r="C1055" s="79">
        <v>-70</v>
      </c>
      <c r="D1055" s="14" t="s">
        <v>147</v>
      </c>
      <c r="E1055" s="5" t="s">
        <v>118</v>
      </c>
      <c r="F1055" s="5" t="s">
        <v>38</v>
      </c>
      <c r="G1055" s="5" t="s">
        <v>50</v>
      </c>
    </row>
    <row r="1056" spans="2:7" ht="18" hidden="1">
      <c r="B1056" s="55">
        <v>46158</v>
      </c>
      <c r="C1056" s="79">
        <v>-28.333333333333329</v>
      </c>
      <c r="D1056" s="14" t="s">
        <v>147</v>
      </c>
      <c r="E1056" s="5" t="s">
        <v>118</v>
      </c>
      <c r="F1056" s="5" t="s">
        <v>53</v>
      </c>
      <c r="G1056" s="5" t="s">
        <v>56</v>
      </c>
    </row>
    <row r="1057" spans="2:7" ht="18" hidden="1">
      <c r="B1057" s="55">
        <v>46158</v>
      </c>
      <c r="C1057" s="79">
        <v>-28.333333333333329</v>
      </c>
      <c r="D1057" s="14" t="s">
        <v>95</v>
      </c>
      <c r="E1057" s="5" t="s">
        <v>118</v>
      </c>
      <c r="F1057" s="5" t="s">
        <v>53</v>
      </c>
      <c r="G1057" s="5" t="s">
        <v>55</v>
      </c>
    </row>
    <row r="1058" spans="2:7" ht="18" hidden="1">
      <c r="B1058" s="55">
        <v>46158</v>
      </c>
      <c r="C1058" s="79">
        <v>-28.333333333333329</v>
      </c>
      <c r="D1058" s="14" t="s">
        <v>95</v>
      </c>
      <c r="E1058" s="5" t="s">
        <v>118</v>
      </c>
      <c r="F1058" s="5" t="s">
        <v>53</v>
      </c>
      <c r="G1058" s="5" t="s">
        <v>55</v>
      </c>
    </row>
    <row r="1059" spans="2:7" ht="18" hidden="1">
      <c r="B1059" s="55">
        <v>46159</v>
      </c>
      <c r="C1059" s="79">
        <v>1.6E-2</v>
      </c>
      <c r="D1059" s="14" t="s">
        <v>147</v>
      </c>
      <c r="E1059" s="5" t="s">
        <v>34</v>
      </c>
      <c r="F1059" s="5" t="s">
        <v>36</v>
      </c>
      <c r="G1059" s="5" t="s">
        <v>42</v>
      </c>
    </row>
    <row r="1060" spans="2:7" ht="18" hidden="1">
      <c r="B1060" s="55">
        <v>46160</v>
      </c>
      <c r="C1060" s="79">
        <v>-10</v>
      </c>
      <c r="D1060" s="14" t="s">
        <v>147</v>
      </c>
      <c r="E1060" s="5" t="s">
        <v>118</v>
      </c>
      <c r="F1060" s="5" t="s">
        <v>38</v>
      </c>
      <c r="G1060" s="5" t="s">
        <v>50</v>
      </c>
    </row>
    <row r="1061" spans="2:7" ht="18" hidden="1">
      <c r="B1061" s="55">
        <v>46160</v>
      </c>
      <c r="C1061" s="79">
        <v>-42.5</v>
      </c>
      <c r="D1061" s="14" t="s">
        <v>147</v>
      </c>
      <c r="E1061" s="5" t="s">
        <v>118</v>
      </c>
      <c r="F1061" s="5" t="s">
        <v>53</v>
      </c>
      <c r="G1061" s="5" t="s">
        <v>56</v>
      </c>
    </row>
    <row r="1062" spans="2:7" ht="18" hidden="1">
      <c r="B1062" s="55">
        <v>46160</v>
      </c>
      <c r="C1062" s="79">
        <v>-42.5</v>
      </c>
      <c r="D1062" s="14" t="s">
        <v>147</v>
      </c>
      <c r="E1062" s="5" t="s">
        <v>118</v>
      </c>
      <c r="F1062" s="5" t="s">
        <v>53</v>
      </c>
      <c r="G1062" s="5" t="s">
        <v>55</v>
      </c>
    </row>
    <row r="1063" spans="2:7" ht="18" hidden="1">
      <c r="B1063" s="55">
        <v>46160</v>
      </c>
      <c r="C1063" s="79">
        <v>-94.9</v>
      </c>
      <c r="D1063" s="14" t="s">
        <v>147</v>
      </c>
      <c r="E1063" s="5" t="s">
        <v>118</v>
      </c>
      <c r="F1063" s="5" t="s">
        <v>38</v>
      </c>
      <c r="G1063" s="5" t="s">
        <v>48</v>
      </c>
    </row>
    <row r="1064" spans="2:7" ht="18" hidden="1">
      <c r="B1064" s="55">
        <v>46160</v>
      </c>
      <c r="C1064" s="79">
        <v>-2</v>
      </c>
      <c r="D1064" s="14" t="s">
        <v>95</v>
      </c>
      <c r="E1064" s="5" t="s">
        <v>118</v>
      </c>
      <c r="F1064" s="5" t="s">
        <v>38</v>
      </c>
      <c r="G1064" s="5" t="s">
        <v>50</v>
      </c>
    </row>
    <row r="1065" spans="2:7" ht="18" hidden="1">
      <c r="B1065" s="55">
        <v>46161</v>
      </c>
      <c r="C1065" s="79">
        <v>-19.2</v>
      </c>
      <c r="D1065" s="14" t="s">
        <v>147</v>
      </c>
      <c r="E1065" s="5" t="s">
        <v>118</v>
      </c>
      <c r="F1065" s="5" t="s">
        <v>53</v>
      </c>
      <c r="G1065" s="5" t="s">
        <v>56</v>
      </c>
    </row>
    <row r="1066" spans="2:7" ht="18" hidden="1">
      <c r="B1066" s="55">
        <v>46162</v>
      </c>
      <c r="C1066" s="79">
        <v>-60</v>
      </c>
      <c r="D1066" s="14" t="s">
        <v>147</v>
      </c>
      <c r="E1066" s="5" t="s">
        <v>118</v>
      </c>
      <c r="F1066" s="5" t="s">
        <v>53</v>
      </c>
      <c r="G1066" s="5" t="s">
        <v>55</v>
      </c>
    </row>
    <row r="1067" spans="2:7" ht="18" hidden="1">
      <c r="B1067" s="55">
        <v>46162</v>
      </c>
      <c r="C1067" s="79">
        <v>-349</v>
      </c>
      <c r="D1067" s="14" t="s">
        <v>147</v>
      </c>
      <c r="E1067" s="5" t="s">
        <v>118</v>
      </c>
      <c r="F1067" s="5" t="s">
        <v>53</v>
      </c>
      <c r="G1067" s="5" t="s">
        <v>55</v>
      </c>
    </row>
    <row r="1068" spans="2:7" ht="18" hidden="1">
      <c r="B1068" s="55">
        <v>46163</v>
      </c>
      <c r="C1068" s="79">
        <v>-190</v>
      </c>
      <c r="D1068" s="14" t="s">
        <v>147</v>
      </c>
      <c r="E1068" s="5" t="s">
        <v>118</v>
      </c>
      <c r="F1068" s="5" t="s">
        <v>38</v>
      </c>
      <c r="G1068" s="5" t="s">
        <v>48</v>
      </c>
    </row>
    <row r="1069" spans="2:7" ht="18" hidden="1">
      <c r="B1069" s="55">
        <v>46163</v>
      </c>
      <c r="C1069" s="79">
        <v>-3</v>
      </c>
      <c r="D1069" s="14" t="s">
        <v>95</v>
      </c>
      <c r="E1069" s="5" t="s">
        <v>118</v>
      </c>
      <c r="F1069" s="5" t="s">
        <v>38</v>
      </c>
      <c r="G1069" s="5" t="s">
        <v>50</v>
      </c>
    </row>
    <row r="1070" spans="2:7" ht="18" hidden="1">
      <c r="B1070" s="55">
        <v>46163</v>
      </c>
      <c r="C1070" s="79">
        <v>3000</v>
      </c>
      <c r="D1070" s="14" t="s">
        <v>147</v>
      </c>
      <c r="E1070" s="5" t="s">
        <v>34</v>
      </c>
      <c r="F1070" s="5" t="s">
        <v>35</v>
      </c>
      <c r="G1070" s="5" t="s">
        <v>39</v>
      </c>
    </row>
    <row r="1071" spans="2:7" ht="18" hidden="1">
      <c r="B1071" s="55">
        <v>46164</v>
      </c>
      <c r="C1071" s="79">
        <v>-7</v>
      </c>
      <c r="D1071" s="14" t="s">
        <v>147</v>
      </c>
      <c r="E1071" s="5" t="s">
        <v>118</v>
      </c>
      <c r="F1071" s="5" t="s">
        <v>53</v>
      </c>
      <c r="G1071" s="5" t="s">
        <v>56</v>
      </c>
    </row>
    <row r="1072" spans="2:7" ht="18" hidden="1">
      <c r="B1072" s="55">
        <v>46164</v>
      </c>
      <c r="C1072" s="79">
        <v>-5</v>
      </c>
      <c r="D1072" s="14" t="s">
        <v>95</v>
      </c>
      <c r="E1072" s="5" t="s">
        <v>118</v>
      </c>
      <c r="F1072" s="5" t="s">
        <v>53</v>
      </c>
      <c r="G1072" s="5" t="s">
        <v>56</v>
      </c>
    </row>
    <row r="1073" spans="2:7" ht="18" hidden="1">
      <c r="B1073" s="55">
        <v>46165</v>
      </c>
      <c r="C1073" s="79">
        <v>-29</v>
      </c>
      <c r="D1073" s="14" t="s">
        <v>147</v>
      </c>
      <c r="E1073" s="5" t="s">
        <v>118</v>
      </c>
      <c r="F1073" s="5" t="s">
        <v>53</v>
      </c>
      <c r="G1073" s="5" t="s">
        <v>56</v>
      </c>
    </row>
    <row r="1074" spans="2:7" ht="18" hidden="1">
      <c r="B1074" s="55">
        <v>46165</v>
      </c>
      <c r="C1074" s="79">
        <v>-15.7</v>
      </c>
      <c r="D1074" s="14" t="s">
        <v>147</v>
      </c>
      <c r="E1074" s="5" t="s">
        <v>118</v>
      </c>
      <c r="F1074" s="5" t="s">
        <v>53</v>
      </c>
      <c r="G1074" s="5" t="s">
        <v>56</v>
      </c>
    </row>
    <row r="1075" spans="2:7" ht="18" hidden="1">
      <c r="B1075" s="55">
        <v>46167</v>
      </c>
      <c r="C1075" s="79">
        <v>-65</v>
      </c>
      <c r="D1075" s="14" t="s">
        <v>95</v>
      </c>
      <c r="E1075" s="5" t="s">
        <v>118</v>
      </c>
      <c r="F1075" s="5" t="s">
        <v>38</v>
      </c>
      <c r="G1075" s="5" t="s">
        <v>50</v>
      </c>
    </row>
    <row r="1076" spans="2:7" ht="18" hidden="1">
      <c r="B1076" s="55">
        <v>46167</v>
      </c>
      <c r="C1076" s="79">
        <v>-29</v>
      </c>
      <c r="D1076" s="14" t="s">
        <v>147</v>
      </c>
      <c r="E1076" s="5" t="s">
        <v>118</v>
      </c>
      <c r="F1076" s="5" t="s">
        <v>53</v>
      </c>
      <c r="G1076" s="5" t="s">
        <v>56</v>
      </c>
    </row>
    <row r="1077" spans="2:7" ht="18" hidden="1">
      <c r="B1077" s="55">
        <v>46167</v>
      </c>
      <c r="C1077" s="79">
        <v>-18</v>
      </c>
      <c r="D1077" s="14" t="s">
        <v>95</v>
      </c>
      <c r="E1077" s="5" t="s">
        <v>118</v>
      </c>
      <c r="F1077" s="5" t="s">
        <v>53</v>
      </c>
      <c r="G1077" s="5" t="s">
        <v>55</v>
      </c>
    </row>
    <row r="1078" spans="2:7" ht="18" hidden="1">
      <c r="B1078" s="55">
        <v>46168</v>
      </c>
      <c r="C1078" s="79">
        <v>-9</v>
      </c>
      <c r="D1078" s="14" t="s">
        <v>147</v>
      </c>
      <c r="E1078" s="5" t="s">
        <v>118</v>
      </c>
      <c r="F1078" s="5" t="s">
        <v>53</v>
      </c>
      <c r="G1078" s="5" t="s">
        <v>56</v>
      </c>
    </row>
    <row r="1079" spans="2:7" ht="18" hidden="1">
      <c r="B1079" s="55">
        <v>46168</v>
      </c>
      <c r="C1079" s="79">
        <v>-68.477999999999994</v>
      </c>
      <c r="D1079" s="14" t="s">
        <v>147</v>
      </c>
      <c r="E1079" s="5" t="s">
        <v>118</v>
      </c>
      <c r="F1079" s="5" t="s">
        <v>53</v>
      </c>
      <c r="G1079" s="5" t="s">
        <v>56</v>
      </c>
    </row>
    <row r="1080" spans="2:7" ht="18" hidden="1">
      <c r="B1080" s="55">
        <v>46169</v>
      </c>
      <c r="C1080" s="79">
        <v>-69</v>
      </c>
      <c r="D1080" s="14" t="s">
        <v>148</v>
      </c>
      <c r="E1080" s="5" t="s">
        <v>118</v>
      </c>
      <c r="F1080" s="5" t="s">
        <v>53</v>
      </c>
      <c r="G1080" s="5" t="s">
        <v>56</v>
      </c>
    </row>
    <row r="1081" spans="2:7" ht="18" hidden="1">
      <c r="B1081" s="55">
        <v>46169</v>
      </c>
      <c r="C1081" s="79">
        <v>-1</v>
      </c>
      <c r="D1081" s="14" t="s">
        <v>95</v>
      </c>
      <c r="E1081" s="5" t="s">
        <v>118</v>
      </c>
      <c r="F1081" s="5" t="s">
        <v>53</v>
      </c>
      <c r="G1081" s="5" t="s">
        <v>55</v>
      </c>
    </row>
    <row r="1082" spans="2:7" ht="18" hidden="1">
      <c r="B1082" s="55">
        <v>46169</v>
      </c>
      <c r="C1082" s="79">
        <v>-20</v>
      </c>
      <c r="D1082" s="14" t="s">
        <v>147</v>
      </c>
      <c r="E1082" s="5" t="s">
        <v>118</v>
      </c>
      <c r="F1082" s="5" t="s">
        <v>38</v>
      </c>
      <c r="G1082" s="5" t="s">
        <v>48</v>
      </c>
    </row>
    <row r="1083" spans="2:7" ht="18" hidden="1">
      <c r="B1083" s="55">
        <v>46170</v>
      </c>
      <c r="C1083" s="79">
        <v>-9</v>
      </c>
      <c r="D1083" s="14" t="s">
        <v>147</v>
      </c>
      <c r="E1083" s="5" t="s">
        <v>118</v>
      </c>
      <c r="F1083" s="5" t="s">
        <v>53</v>
      </c>
      <c r="G1083" s="5" t="s">
        <v>56</v>
      </c>
    </row>
    <row r="1084" spans="2:7" ht="18" hidden="1">
      <c r="B1084" s="55">
        <v>46170</v>
      </c>
      <c r="C1084" s="79">
        <v>-40</v>
      </c>
      <c r="D1084" s="14" t="s">
        <v>148</v>
      </c>
      <c r="E1084" s="5" t="s">
        <v>118</v>
      </c>
      <c r="F1084" s="5" t="s">
        <v>53</v>
      </c>
      <c r="G1084" s="5" t="s">
        <v>56</v>
      </c>
    </row>
    <row r="1085" spans="2:7" ht="18" hidden="1">
      <c r="B1085" s="55">
        <v>46172</v>
      </c>
      <c r="C1085" s="79">
        <v>-6</v>
      </c>
      <c r="D1085" s="14" t="s">
        <v>147</v>
      </c>
      <c r="E1085" s="5" t="s">
        <v>118</v>
      </c>
      <c r="F1085" s="5" t="s">
        <v>53</v>
      </c>
      <c r="G1085" s="5" t="s">
        <v>55</v>
      </c>
    </row>
    <row r="1086" spans="2:7" ht="18" hidden="1">
      <c r="B1086" s="55">
        <v>46172</v>
      </c>
      <c r="C1086" s="79">
        <v>-65</v>
      </c>
      <c r="D1086" s="14" t="s">
        <v>147</v>
      </c>
      <c r="E1086" s="5" t="s">
        <v>118</v>
      </c>
      <c r="F1086" s="5" t="s">
        <v>53</v>
      </c>
      <c r="G1086" s="5" t="s">
        <v>55</v>
      </c>
    </row>
    <row r="1087" spans="2:7" ht="18" hidden="1">
      <c r="B1087" s="55">
        <v>46172</v>
      </c>
      <c r="C1087" s="79">
        <v>-3</v>
      </c>
      <c r="D1087" s="14" t="s">
        <v>95</v>
      </c>
      <c r="E1087" s="5" t="s">
        <v>118</v>
      </c>
      <c r="F1087" s="5" t="s">
        <v>53</v>
      </c>
      <c r="G1087" s="5" t="s">
        <v>55</v>
      </c>
    </row>
    <row r="1088" spans="2:7" ht="18" hidden="1">
      <c r="B1088" s="55">
        <v>46172</v>
      </c>
      <c r="C1088" s="79">
        <v>-18</v>
      </c>
      <c r="D1088" s="14" t="s">
        <v>147</v>
      </c>
      <c r="E1088" s="5" t="s">
        <v>118</v>
      </c>
      <c r="F1088" s="5" t="s">
        <v>53</v>
      </c>
      <c r="G1088" s="5" t="s">
        <v>56</v>
      </c>
    </row>
    <row r="1089" spans="2:7" ht="18" hidden="1">
      <c r="B1089" s="55">
        <v>46173</v>
      </c>
      <c r="C1089" s="79">
        <v>-3</v>
      </c>
      <c r="D1089" s="14" t="s">
        <v>95</v>
      </c>
      <c r="E1089" s="5" t="s">
        <v>118</v>
      </c>
      <c r="F1089" s="5" t="s">
        <v>53</v>
      </c>
      <c r="G1089" s="5" t="s">
        <v>55</v>
      </c>
    </row>
    <row r="1090" spans="2:7" ht="18" hidden="1">
      <c r="B1090" s="55">
        <v>46173</v>
      </c>
      <c r="C1090" s="79">
        <v>-3</v>
      </c>
      <c r="D1090" s="14" t="s">
        <v>95</v>
      </c>
      <c r="E1090" s="5" t="s">
        <v>118</v>
      </c>
      <c r="F1090" s="5" t="s">
        <v>53</v>
      </c>
      <c r="G1090" s="5" t="s">
        <v>55</v>
      </c>
    </row>
    <row r="1091" spans="2:7" ht="18" hidden="1">
      <c r="B1091" s="55">
        <v>46174</v>
      </c>
      <c r="C1091" s="79">
        <v>-55</v>
      </c>
      <c r="D1091" s="14" t="s">
        <v>148</v>
      </c>
      <c r="E1091" s="5" t="s">
        <v>118</v>
      </c>
      <c r="F1091" s="5" t="s">
        <v>53</v>
      </c>
      <c r="G1091" s="5" t="s">
        <v>56</v>
      </c>
    </row>
    <row r="1092" spans="2:7" ht="18" hidden="1">
      <c r="B1092" s="55">
        <v>46177</v>
      </c>
      <c r="C1092" s="79">
        <v>-200</v>
      </c>
      <c r="D1092" s="14" t="s">
        <v>148</v>
      </c>
      <c r="E1092" s="5" t="s">
        <v>118</v>
      </c>
      <c r="F1092" s="5" t="s">
        <v>38</v>
      </c>
      <c r="G1092" s="5" t="s">
        <v>48</v>
      </c>
    </row>
    <row r="1093" spans="2:7" ht="18" hidden="1">
      <c r="B1093" s="55">
        <v>46177</v>
      </c>
      <c r="C1093" s="79">
        <v>-65.114000000000004</v>
      </c>
      <c r="D1093" s="14" t="s">
        <v>148</v>
      </c>
      <c r="E1093" s="5" t="s">
        <v>118</v>
      </c>
      <c r="F1093" s="5" t="s">
        <v>53</v>
      </c>
      <c r="G1093" s="5" t="s">
        <v>55</v>
      </c>
    </row>
    <row r="1094" spans="2:7" ht="18" hidden="1">
      <c r="B1094" s="55">
        <v>46177</v>
      </c>
      <c r="C1094" s="79">
        <v>-120</v>
      </c>
      <c r="D1094" s="14" t="s">
        <v>148</v>
      </c>
      <c r="E1094" s="5" t="s">
        <v>118</v>
      </c>
      <c r="F1094" s="5" t="s">
        <v>38</v>
      </c>
      <c r="G1094" s="5" t="s">
        <v>50</v>
      </c>
    </row>
    <row r="1095" spans="2:7" ht="18" hidden="1">
      <c r="B1095" s="55">
        <v>46178</v>
      </c>
      <c r="C1095" s="79">
        <v>-35</v>
      </c>
      <c r="D1095" s="14" t="s">
        <v>148</v>
      </c>
      <c r="E1095" s="5" t="s">
        <v>118</v>
      </c>
      <c r="F1095" s="5" t="s">
        <v>53</v>
      </c>
      <c r="G1095" s="5" t="s">
        <v>56</v>
      </c>
    </row>
    <row r="1096" spans="2:7" ht="18" hidden="1">
      <c r="B1096" s="55">
        <v>46178</v>
      </c>
      <c r="C1096" s="79">
        <v>736</v>
      </c>
      <c r="D1096" s="14" t="s">
        <v>147</v>
      </c>
      <c r="E1096" s="5" t="s">
        <v>34</v>
      </c>
      <c r="F1096" s="5" t="s">
        <v>36</v>
      </c>
      <c r="G1096" s="5" t="s">
        <v>42</v>
      </c>
    </row>
    <row r="1097" spans="2:7" ht="18" hidden="1">
      <c r="B1097" s="55">
        <v>46178</v>
      </c>
      <c r="C1097" s="79">
        <v>-368</v>
      </c>
      <c r="D1097" s="14" t="s">
        <v>147</v>
      </c>
      <c r="E1097" s="5" t="s">
        <v>118</v>
      </c>
      <c r="F1097" s="5" t="s">
        <v>63</v>
      </c>
      <c r="G1097" s="5" t="s">
        <v>65</v>
      </c>
    </row>
    <row r="1098" spans="2:7" ht="18" hidden="1">
      <c r="B1098" s="55">
        <v>46179</v>
      </c>
      <c r="C1098" s="79">
        <v>-52.5</v>
      </c>
      <c r="D1098" s="14" t="s">
        <v>148</v>
      </c>
      <c r="E1098" s="5" t="s">
        <v>118</v>
      </c>
      <c r="F1098" s="5" t="s">
        <v>53</v>
      </c>
      <c r="G1098" s="5" t="s">
        <v>56</v>
      </c>
    </row>
    <row r="1099" spans="2:7" ht="18" hidden="1">
      <c r="B1099" s="55">
        <v>46179</v>
      </c>
      <c r="C1099" s="79">
        <v>-52.5</v>
      </c>
      <c r="D1099" s="14" t="s">
        <v>148</v>
      </c>
      <c r="E1099" s="5" t="s">
        <v>118</v>
      </c>
      <c r="F1099" s="5" t="s">
        <v>53</v>
      </c>
      <c r="G1099" s="5" t="s">
        <v>55</v>
      </c>
    </row>
    <row r="1100" spans="2:7" ht="18" hidden="1">
      <c r="B1100" s="55">
        <v>46180</v>
      </c>
      <c r="C1100" s="79">
        <v>368</v>
      </c>
      <c r="D1100" s="14" t="s">
        <v>147</v>
      </c>
      <c r="E1100" s="5" t="s">
        <v>118</v>
      </c>
      <c r="F1100" s="5" t="s">
        <v>63</v>
      </c>
      <c r="G1100" s="5" t="s">
        <v>65</v>
      </c>
    </row>
    <row r="1101" spans="2:7" ht="18" hidden="1">
      <c r="B1101" s="55">
        <v>46183</v>
      </c>
      <c r="C1101" s="79">
        <v>-10</v>
      </c>
      <c r="D1101" s="14" t="s">
        <v>95</v>
      </c>
      <c r="E1101" s="5" t="s">
        <v>118</v>
      </c>
      <c r="F1101" s="5" t="s">
        <v>38</v>
      </c>
      <c r="G1101" s="5" t="s">
        <v>50</v>
      </c>
    </row>
    <row r="1102" spans="2:7" ht="18" hidden="1">
      <c r="B1102" s="55">
        <v>46183</v>
      </c>
      <c r="C1102" s="79">
        <v>-16.5</v>
      </c>
      <c r="D1102" s="14" t="s">
        <v>147</v>
      </c>
      <c r="E1102" s="5" t="s">
        <v>118</v>
      </c>
      <c r="F1102" s="5" t="s">
        <v>38</v>
      </c>
      <c r="G1102" s="5" t="s">
        <v>50</v>
      </c>
    </row>
    <row r="1103" spans="2:7" ht="18" hidden="1">
      <c r="B1103" s="55">
        <v>46183</v>
      </c>
      <c r="C1103" s="79">
        <v>-63.975999999999999</v>
      </c>
      <c r="D1103" s="14" t="s">
        <v>147</v>
      </c>
      <c r="E1103" s="5" t="s">
        <v>118</v>
      </c>
      <c r="F1103" s="5" t="s">
        <v>38</v>
      </c>
      <c r="G1103" s="5" t="s">
        <v>50</v>
      </c>
    </row>
    <row r="1104" spans="2:7" ht="18" hidden="1">
      <c r="B1104" s="55">
        <v>46183</v>
      </c>
      <c r="C1104" s="79">
        <v>-110.54600000000001</v>
      </c>
      <c r="D1104" s="14" t="s">
        <v>147</v>
      </c>
      <c r="E1104" s="5" t="s">
        <v>118</v>
      </c>
      <c r="F1104" s="5" t="s">
        <v>38</v>
      </c>
      <c r="G1104" s="5" t="s">
        <v>48</v>
      </c>
    </row>
    <row r="1105" spans="2:7" ht="18" hidden="1">
      <c r="B1105" s="55">
        <v>46184</v>
      </c>
      <c r="C1105" s="79">
        <v>-82.5</v>
      </c>
      <c r="D1105" s="14" t="s">
        <v>147</v>
      </c>
      <c r="E1105" s="5" t="s">
        <v>118</v>
      </c>
      <c r="F1105" s="5" t="s">
        <v>38</v>
      </c>
      <c r="G1105" s="5" t="s">
        <v>50</v>
      </c>
    </row>
    <row r="1106" spans="2:7" ht="18" hidden="1">
      <c r="B1106" s="55">
        <v>46188</v>
      </c>
      <c r="C1106" s="79">
        <v>-65</v>
      </c>
      <c r="D1106" s="14" t="s">
        <v>148</v>
      </c>
      <c r="E1106" s="5" t="s">
        <v>118</v>
      </c>
      <c r="F1106" s="5" t="s">
        <v>53</v>
      </c>
      <c r="G1106" s="5" t="s">
        <v>56</v>
      </c>
    </row>
    <row r="1107" spans="2:7" ht="18" hidden="1">
      <c r="B1107" s="55">
        <v>46188</v>
      </c>
      <c r="C1107" s="79">
        <v>-33</v>
      </c>
      <c r="D1107" s="14" t="s">
        <v>147</v>
      </c>
      <c r="E1107" s="5" t="s">
        <v>118</v>
      </c>
      <c r="F1107" s="5" t="s">
        <v>53</v>
      </c>
      <c r="G1107" s="5" t="s">
        <v>56</v>
      </c>
    </row>
    <row r="1108" spans="2:7" ht="18" hidden="1">
      <c r="B1108" s="55">
        <v>46188</v>
      </c>
      <c r="C1108" s="79">
        <v>2000</v>
      </c>
      <c r="D1108" s="14" t="s">
        <v>147</v>
      </c>
      <c r="E1108" s="5" t="s">
        <v>34</v>
      </c>
      <c r="F1108" s="5" t="s">
        <v>35</v>
      </c>
      <c r="G1108" s="5" t="s">
        <v>39</v>
      </c>
    </row>
    <row r="1109" spans="2:7" ht="18" hidden="1">
      <c r="B1109" s="55">
        <v>46190</v>
      </c>
      <c r="C1109" s="79">
        <v>-20</v>
      </c>
      <c r="D1109" s="14" t="s">
        <v>147</v>
      </c>
      <c r="E1109" s="5" t="s">
        <v>118</v>
      </c>
      <c r="F1109" s="5" t="s">
        <v>38</v>
      </c>
      <c r="G1109" s="5" t="s">
        <v>48</v>
      </c>
    </row>
    <row r="1110" spans="2:7" ht="18" hidden="1">
      <c r="B1110" s="55">
        <v>46190</v>
      </c>
      <c r="C1110" s="79">
        <v>-8.1260000000000048</v>
      </c>
      <c r="D1110" s="14" t="s">
        <v>147</v>
      </c>
      <c r="E1110" s="5" t="s">
        <v>118</v>
      </c>
      <c r="F1110" s="5" t="s">
        <v>53</v>
      </c>
      <c r="G1110" s="5" t="s">
        <v>56</v>
      </c>
    </row>
    <row r="1111" spans="2:7" ht="18" hidden="1">
      <c r="B1111" s="55">
        <v>46192</v>
      </c>
      <c r="C1111" s="79">
        <v>-55.085000000000001</v>
      </c>
      <c r="D1111" s="14" t="s">
        <v>148</v>
      </c>
      <c r="E1111" s="5" t="s">
        <v>118</v>
      </c>
      <c r="F1111" s="5" t="s">
        <v>53</v>
      </c>
      <c r="G1111" s="5" t="s">
        <v>55</v>
      </c>
    </row>
    <row r="1112" spans="2:7" ht="18" hidden="1">
      <c r="B1112" s="55">
        <v>46192</v>
      </c>
      <c r="C1112" s="79">
        <v>-19</v>
      </c>
      <c r="D1112" s="14" t="s">
        <v>147</v>
      </c>
      <c r="E1112" s="5" t="s">
        <v>118</v>
      </c>
      <c r="F1112" s="5" t="s">
        <v>53</v>
      </c>
      <c r="G1112" s="5" t="s">
        <v>56</v>
      </c>
    </row>
    <row r="1113" spans="2:7" ht="18" hidden="1">
      <c r="B1113" s="55">
        <v>46193</v>
      </c>
      <c r="C1113" s="79">
        <v>-49.716999999999999</v>
      </c>
      <c r="D1113" s="14" t="s">
        <v>147</v>
      </c>
      <c r="E1113" s="5" t="s">
        <v>118</v>
      </c>
      <c r="F1113" s="5" t="s">
        <v>38</v>
      </c>
      <c r="G1113" s="5" t="s">
        <v>48</v>
      </c>
    </row>
    <row r="1114" spans="2:7" ht="18" hidden="1">
      <c r="B1114" s="55">
        <v>46195</v>
      </c>
      <c r="C1114" s="79">
        <v>-35</v>
      </c>
      <c r="D1114" s="14" t="s">
        <v>147</v>
      </c>
      <c r="E1114" s="5" t="s">
        <v>118</v>
      </c>
      <c r="F1114" s="5" t="s">
        <v>53</v>
      </c>
      <c r="G1114" s="5" t="s">
        <v>56</v>
      </c>
    </row>
    <row r="1115" spans="2:7" ht="18" hidden="1">
      <c r="B1115" s="55">
        <v>46195</v>
      </c>
      <c r="C1115" s="79">
        <v>-55</v>
      </c>
      <c r="D1115" s="14" t="s">
        <v>147</v>
      </c>
      <c r="E1115" s="5" t="s">
        <v>118</v>
      </c>
      <c r="F1115" s="5" t="s">
        <v>53</v>
      </c>
      <c r="G1115" s="5" t="s">
        <v>55</v>
      </c>
    </row>
    <row r="1116" spans="2:7" ht="18" hidden="1">
      <c r="B1116" s="55">
        <v>46195</v>
      </c>
      <c r="C1116" s="79">
        <v>-35</v>
      </c>
      <c r="D1116" s="14" t="s">
        <v>147</v>
      </c>
      <c r="E1116" s="5" t="s">
        <v>118</v>
      </c>
      <c r="F1116" s="5" t="s">
        <v>53</v>
      </c>
      <c r="G1116" s="5" t="s">
        <v>55</v>
      </c>
    </row>
    <row r="1117" spans="2:7" ht="18" hidden="1">
      <c r="B1117" s="55">
        <v>46195</v>
      </c>
      <c r="C1117" s="79">
        <v>-35</v>
      </c>
      <c r="D1117" s="14" t="s">
        <v>147</v>
      </c>
      <c r="E1117" s="5" t="s">
        <v>118</v>
      </c>
      <c r="F1117" s="5" t="s">
        <v>53</v>
      </c>
      <c r="G1117" s="5" t="s">
        <v>55</v>
      </c>
    </row>
    <row r="1118" spans="2:7" ht="18" hidden="1">
      <c r="B1118" s="55">
        <v>46196</v>
      </c>
      <c r="C1118" s="79">
        <v>-19</v>
      </c>
      <c r="D1118" s="14" t="s">
        <v>147</v>
      </c>
      <c r="E1118" s="5" t="s">
        <v>118</v>
      </c>
      <c r="F1118" s="5" t="s">
        <v>53</v>
      </c>
      <c r="G1118" s="5" t="s">
        <v>56</v>
      </c>
    </row>
    <row r="1119" spans="2:7" ht="18" hidden="1">
      <c r="B1119" s="55">
        <v>46196</v>
      </c>
      <c r="C1119" s="79">
        <v>-16</v>
      </c>
      <c r="D1119" s="14" t="s">
        <v>147</v>
      </c>
      <c r="E1119" s="5" t="s">
        <v>118</v>
      </c>
      <c r="F1119" s="5" t="s">
        <v>53</v>
      </c>
      <c r="G1119" s="5" t="s">
        <v>56</v>
      </c>
    </row>
    <row r="1120" spans="2:7" ht="18" hidden="1">
      <c r="B1120" s="55">
        <v>46197</v>
      </c>
      <c r="C1120" s="79">
        <v>-20</v>
      </c>
      <c r="D1120" s="14" t="s">
        <v>147</v>
      </c>
      <c r="E1120" s="5" t="s">
        <v>118</v>
      </c>
      <c r="F1120" s="5" t="s">
        <v>53</v>
      </c>
      <c r="G1120" s="5" t="s">
        <v>55</v>
      </c>
    </row>
    <row r="1121" spans="2:7" ht="18" hidden="1">
      <c r="B1121" s="55">
        <v>46197</v>
      </c>
      <c r="C1121" s="79">
        <v>-22</v>
      </c>
      <c r="D1121" s="14" t="s">
        <v>147</v>
      </c>
      <c r="E1121" s="5" t="s">
        <v>118</v>
      </c>
      <c r="F1121" s="5" t="s">
        <v>53</v>
      </c>
      <c r="G1121" s="5" t="s">
        <v>56</v>
      </c>
    </row>
    <row r="1122" spans="2:7" ht="18" hidden="1">
      <c r="B1122" s="55">
        <v>46198</v>
      </c>
      <c r="C1122" s="79">
        <v>-59.332000000000001</v>
      </c>
      <c r="D1122" s="14" t="s">
        <v>147</v>
      </c>
      <c r="E1122" s="5" t="s">
        <v>118</v>
      </c>
      <c r="F1122" s="5" t="s">
        <v>53</v>
      </c>
      <c r="G1122" s="5" t="s">
        <v>55</v>
      </c>
    </row>
    <row r="1123" spans="2:7" ht="18" hidden="1">
      <c r="B1123" s="55">
        <v>46198</v>
      </c>
      <c r="C1123" s="79">
        <v>-6</v>
      </c>
      <c r="D1123" s="14" t="s">
        <v>95</v>
      </c>
      <c r="E1123" s="5" t="s">
        <v>118</v>
      </c>
      <c r="F1123" s="5" t="s">
        <v>53</v>
      </c>
      <c r="G1123" s="5" t="s">
        <v>55</v>
      </c>
    </row>
    <row r="1124" spans="2:7" ht="18" hidden="1">
      <c r="B1124" s="55">
        <v>46198</v>
      </c>
      <c r="C1124" s="79">
        <v>-20</v>
      </c>
      <c r="D1124" s="14" t="s">
        <v>147</v>
      </c>
      <c r="E1124" s="5" t="s">
        <v>118</v>
      </c>
      <c r="F1124" s="5" t="s">
        <v>53</v>
      </c>
      <c r="G1124" s="5" t="s">
        <v>56</v>
      </c>
    </row>
    <row r="1125" spans="2:7" ht="18" hidden="1">
      <c r="B1125" s="55">
        <v>46198</v>
      </c>
      <c r="C1125" s="79">
        <v>-50</v>
      </c>
      <c r="D1125" s="14" t="s">
        <v>148</v>
      </c>
      <c r="E1125" s="5" t="s">
        <v>118</v>
      </c>
      <c r="F1125" s="5" t="s">
        <v>53</v>
      </c>
      <c r="G1125" s="5" t="s">
        <v>55</v>
      </c>
    </row>
    <row r="1126" spans="2:7" ht="18" hidden="1">
      <c r="B1126" s="55">
        <v>46198</v>
      </c>
      <c r="C1126" s="79">
        <v>3.0250000000000061</v>
      </c>
      <c r="D1126" s="14" t="s">
        <v>147</v>
      </c>
      <c r="E1126" s="5" t="s">
        <v>118</v>
      </c>
      <c r="F1126" s="5" t="s">
        <v>63</v>
      </c>
      <c r="G1126" s="5" t="s">
        <v>65</v>
      </c>
    </row>
    <row r="1127" spans="2:7" ht="18" hidden="1">
      <c r="B1127" s="55">
        <v>46200</v>
      </c>
      <c r="C1127" s="79">
        <v>-131.875</v>
      </c>
      <c r="D1127" s="14" t="s">
        <v>147</v>
      </c>
      <c r="E1127" s="5" t="s">
        <v>118</v>
      </c>
      <c r="F1127" s="5" t="s">
        <v>53</v>
      </c>
      <c r="G1127" s="5" t="s">
        <v>55</v>
      </c>
    </row>
    <row r="1128" spans="2:7" ht="18" hidden="1">
      <c r="B1128" s="55">
        <v>46201</v>
      </c>
      <c r="C1128" s="79">
        <v>-58.08</v>
      </c>
      <c r="D1128" s="14" t="s">
        <v>147</v>
      </c>
      <c r="E1128" s="5" t="s">
        <v>118</v>
      </c>
      <c r="F1128" s="5" t="s">
        <v>53</v>
      </c>
      <c r="G1128" s="5" t="s">
        <v>55</v>
      </c>
    </row>
    <row r="1129" spans="2:7" ht="18" hidden="1">
      <c r="B1129" s="55">
        <v>46202</v>
      </c>
      <c r="C1129" s="79">
        <v>3000</v>
      </c>
      <c r="D1129" s="14" t="s">
        <v>147</v>
      </c>
      <c r="E1129" s="5" t="s">
        <v>34</v>
      </c>
      <c r="F1129" s="5" t="s">
        <v>35</v>
      </c>
      <c r="G1129" s="5" t="s">
        <v>39</v>
      </c>
    </row>
    <row r="1130" spans="2:7" ht="18" hidden="1">
      <c r="B1130" s="55">
        <v>46202</v>
      </c>
      <c r="C1130" s="79">
        <v>-1890</v>
      </c>
      <c r="D1130" s="14" t="s">
        <v>147</v>
      </c>
      <c r="E1130" s="5" t="s">
        <v>118</v>
      </c>
      <c r="F1130" s="5" t="s">
        <v>38</v>
      </c>
      <c r="G1130" s="5" t="s">
        <v>50</v>
      </c>
    </row>
    <row r="1131" spans="2:7" ht="18" hidden="1">
      <c r="B1131" s="55">
        <v>46202</v>
      </c>
      <c r="C1131" s="79">
        <v>-200</v>
      </c>
      <c r="D1131" s="14" t="s">
        <v>147</v>
      </c>
      <c r="E1131" s="5" t="s">
        <v>118</v>
      </c>
      <c r="F1131" s="5" t="s">
        <v>53</v>
      </c>
      <c r="G1131" s="5" t="s">
        <v>56</v>
      </c>
    </row>
    <row r="1132" spans="2:7" ht="18" hidden="1">
      <c r="B1132" s="55">
        <v>46202</v>
      </c>
      <c r="C1132" s="79">
        <v>-100</v>
      </c>
      <c r="D1132" s="14" t="s">
        <v>147</v>
      </c>
      <c r="E1132" s="5" t="s">
        <v>118</v>
      </c>
      <c r="F1132" s="5" t="s">
        <v>53</v>
      </c>
      <c r="G1132" s="5" t="s">
        <v>56</v>
      </c>
    </row>
    <row r="1133" spans="2:7" ht="18" hidden="1">
      <c r="B1133" s="55">
        <v>46202</v>
      </c>
      <c r="C1133" s="79">
        <v>-20</v>
      </c>
      <c r="D1133" s="14" t="s">
        <v>147</v>
      </c>
      <c r="E1133" s="5" t="s">
        <v>118</v>
      </c>
      <c r="F1133" s="5" t="s">
        <v>38</v>
      </c>
      <c r="G1133" s="5" t="s">
        <v>48</v>
      </c>
    </row>
    <row r="1134" spans="2:7" ht="18" hidden="1">
      <c r="B1134" s="55">
        <v>46202</v>
      </c>
      <c r="C1134" s="79">
        <v>-215.76599999999999</v>
      </c>
      <c r="D1134" s="14" t="s">
        <v>147</v>
      </c>
      <c r="E1134" s="5" t="s">
        <v>118</v>
      </c>
      <c r="F1134" s="5" t="s">
        <v>38</v>
      </c>
      <c r="G1134" s="5" t="s">
        <v>48</v>
      </c>
    </row>
    <row r="1135" spans="2:7" ht="18" hidden="1">
      <c r="B1135" s="55">
        <v>46202</v>
      </c>
      <c r="C1135" s="79">
        <v>-52</v>
      </c>
      <c r="D1135" s="14" t="s">
        <v>148</v>
      </c>
      <c r="E1135" s="5" t="s">
        <v>118</v>
      </c>
      <c r="F1135" s="5" t="s">
        <v>38</v>
      </c>
      <c r="G1135" s="5" t="s">
        <v>48</v>
      </c>
    </row>
    <row r="1136" spans="2:7" ht="18" hidden="1">
      <c r="B1136" s="55">
        <v>46203</v>
      </c>
      <c r="C1136" s="79">
        <v>-790</v>
      </c>
      <c r="D1136" s="14" t="s">
        <v>147</v>
      </c>
      <c r="E1136" s="5" t="s">
        <v>118</v>
      </c>
      <c r="F1136" s="5" t="s">
        <v>53</v>
      </c>
      <c r="G1136" s="5" t="s">
        <v>55</v>
      </c>
    </row>
    <row r="1137" spans="2:7" ht="18" hidden="1">
      <c r="B1137" s="55">
        <v>46204</v>
      </c>
      <c r="C1137" s="79">
        <v>-62.701000000000001</v>
      </c>
      <c r="D1137" s="14" t="s">
        <v>147</v>
      </c>
      <c r="E1137" s="5" t="s">
        <v>118</v>
      </c>
      <c r="F1137" s="5" t="s">
        <v>53</v>
      </c>
      <c r="G1137" s="5" t="s">
        <v>55</v>
      </c>
    </row>
    <row r="1138" spans="2:7" ht="18" hidden="1">
      <c r="B1138" s="55">
        <v>46204</v>
      </c>
      <c r="C1138" s="79">
        <v>-190</v>
      </c>
      <c r="D1138" s="14" t="s">
        <v>148</v>
      </c>
      <c r="E1138" s="5" t="s">
        <v>118</v>
      </c>
      <c r="F1138" s="5" t="s">
        <v>38</v>
      </c>
      <c r="G1138" s="5" t="s">
        <v>48</v>
      </c>
    </row>
    <row r="1139" spans="2:7" ht="18" hidden="1">
      <c r="B1139" s="55">
        <v>46204</v>
      </c>
      <c r="C1139" s="79">
        <v>28968</v>
      </c>
      <c r="D1139" s="14" t="s">
        <v>147</v>
      </c>
      <c r="E1139" s="5" t="s">
        <v>34</v>
      </c>
      <c r="F1139" s="5" t="s">
        <v>35</v>
      </c>
      <c r="G1139" s="5" t="s">
        <v>39</v>
      </c>
    </row>
    <row r="1140" spans="2:7" ht="18" hidden="1">
      <c r="B1140" s="55">
        <v>46204</v>
      </c>
      <c r="C1140" s="79">
        <v>-81.5</v>
      </c>
      <c r="D1140" s="14" t="s">
        <v>147</v>
      </c>
      <c r="E1140" s="5" t="s">
        <v>118</v>
      </c>
      <c r="F1140" s="5" t="s">
        <v>53</v>
      </c>
      <c r="G1140" s="5" t="s">
        <v>56</v>
      </c>
    </row>
    <row r="1141" spans="2:7" ht="18" hidden="1">
      <c r="B1141" s="55">
        <v>46204</v>
      </c>
      <c r="C1141" s="79">
        <v>-81.5</v>
      </c>
      <c r="D1141" s="14" t="s">
        <v>147</v>
      </c>
      <c r="E1141" s="5" t="s">
        <v>118</v>
      </c>
      <c r="F1141" s="5" t="s">
        <v>53</v>
      </c>
      <c r="G1141" s="5" t="s">
        <v>56</v>
      </c>
    </row>
    <row r="1142" spans="2:7" ht="18" hidden="1">
      <c r="B1142" s="55">
        <v>46220</v>
      </c>
      <c r="C1142" s="79">
        <v>57248.285000000003</v>
      </c>
      <c r="D1142" s="14" t="s">
        <v>148</v>
      </c>
      <c r="E1142" s="5" t="s">
        <v>34</v>
      </c>
      <c r="F1142" s="5" t="s">
        <v>36</v>
      </c>
      <c r="G1142" s="5" t="s">
        <v>42</v>
      </c>
    </row>
    <row r="1143" spans="2:7" ht="18" hidden="1">
      <c r="B1143" s="55">
        <f t="shared" ref="B1143:B1150" si="0">DATE(2026, 7, 25)</f>
        <v>46228</v>
      </c>
      <c r="C1143" s="79">
        <v>-13</v>
      </c>
      <c r="D1143" s="14" t="s">
        <v>147</v>
      </c>
      <c r="E1143" s="5" t="s">
        <v>118</v>
      </c>
      <c r="F1143" s="5" t="s">
        <v>38</v>
      </c>
      <c r="G1143" s="5" t="s">
        <v>51</v>
      </c>
    </row>
    <row r="1144" spans="2:7" ht="18" hidden="1">
      <c r="B1144" s="55">
        <f t="shared" si="0"/>
        <v>46228</v>
      </c>
      <c r="C1144" s="79">
        <v>-315</v>
      </c>
      <c r="D1144" s="14" t="s">
        <v>148</v>
      </c>
      <c r="E1144" s="5" t="s">
        <v>118</v>
      </c>
      <c r="F1144" s="5" t="s">
        <v>53</v>
      </c>
      <c r="G1144" s="5" t="s">
        <v>137</v>
      </c>
    </row>
    <row r="1145" spans="2:7" ht="18" hidden="1">
      <c r="B1145" s="55">
        <f t="shared" si="0"/>
        <v>46228</v>
      </c>
      <c r="C1145" s="79">
        <v>-40</v>
      </c>
      <c r="D1145" s="14" t="s">
        <v>95</v>
      </c>
      <c r="E1145" s="5" t="s">
        <v>118</v>
      </c>
      <c r="F1145" s="5" t="s">
        <v>38</v>
      </c>
      <c r="G1145" s="5" t="s">
        <v>51</v>
      </c>
    </row>
    <row r="1146" spans="2:7" ht="18" hidden="1">
      <c r="B1146" s="55">
        <f t="shared" si="0"/>
        <v>46228</v>
      </c>
      <c r="C1146" s="79">
        <v>-58500</v>
      </c>
      <c r="D1146" s="14" t="s">
        <v>148</v>
      </c>
      <c r="E1146" s="5" t="s">
        <v>118</v>
      </c>
      <c r="F1146" s="5" t="s">
        <v>38</v>
      </c>
      <c r="G1146" s="5" t="s">
        <v>138</v>
      </c>
    </row>
    <row r="1147" spans="2:7" ht="18" hidden="1">
      <c r="B1147" s="55">
        <f t="shared" si="0"/>
        <v>46228</v>
      </c>
      <c r="C1147" s="79">
        <v>-2500</v>
      </c>
      <c r="D1147" s="14" t="s">
        <v>148</v>
      </c>
      <c r="E1147" s="5" t="s">
        <v>118</v>
      </c>
      <c r="F1147" s="5" t="s">
        <v>53</v>
      </c>
      <c r="G1147" s="5" t="s">
        <v>55</v>
      </c>
    </row>
    <row r="1148" spans="2:7" ht="18" hidden="1">
      <c r="B1148" s="55">
        <f t="shared" si="0"/>
        <v>46228</v>
      </c>
      <c r="C1148" s="79">
        <v>-90.11</v>
      </c>
      <c r="D1148" s="14" t="s">
        <v>148</v>
      </c>
      <c r="E1148" s="5" t="s">
        <v>118</v>
      </c>
      <c r="F1148" s="5" t="s">
        <v>38</v>
      </c>
      <c r="G1148" s="5" t="s">
        <v>51</v>
      </c>
    </row>
    <row r="1149" spans="2:7" ht="18" hidden="1">
      <c r="B1149" s="55">
        <f t="shared" si="0"/>
        <v>46228</v>
      </c>
      <c r="C1149" s="79">
        <v>-60</v>
      </c>
      <c r="D1149" s="14" t="s">
        <v>148</v>
      </c>
      <c r="E1149" s="5" t="s">
        <v>118</v>
      </c>
      <c r="F1149" s="5" t="s">
        <v>58</v>
      </c>
      <c r="G1149" s="5" t="s">
        <v>60</v>
      </c>
    </row>
    <row r="1150" spans="2:7" ht="18" hidden="1">
      <c r="B1150" s="55">
        <f t="shared" si="0"/>
        <v>46228</v>
      </c>
      <c r="C1150" s="79">
        <v>3374.97</v>
      </c>
      <c r="D1150" s="14" t="s">
        <v>147</v>
      </c>
      <c r="E1150" s="5" t="s">
        <v>34</v>
      </c>
      <c r="F1150" s="5" t="s">
        <v>36</v>
      </c>
      <c r="G1150" s="5" t="s">
        <v>43</v>
      </c>
    </row>
    <row r="1151" spans="2:7" ht="18" hidden="1">
      <c r="B1151" s="55">
        <f>DATE(2026, 7, 26)</f>
        <v>46229</v>
      </c>
      <c r="C1151" s="79">
        <v>-105</v>
      </c>
      <c r="D1151" s="14" t="s">
        <v>148</v>
      </c>
      <c r="E1151" s="5" t="s">
        <v>118</v>
      </c>
      <c r="F1151" s="5" t="s">
        <v>38</v>
      </c>
      <c r="G1151" s="5" t="s">
        <v>49</v>
      </c>
    </row>
    <row r="1152" spans="2:7" ht="18" hidden="1">
      <c r="B1152" s="55">
        <f>DATE(2026, 7, 29)</f>
        <v>46232</v>
      </c>
      <c r="C1152" s="79">
        <v>-60</v>
      </c>
      <c r="D1152" s="14" t="s">
        <v>147</v>
      </c>
      <c r="E1152" s="5" t="s">
        <v>118</v>
      </c>
      <c r="F1152" s="5" t="s">
        <v>53</v>
      </c>
      <c r="G1152" s="5" t="s">
        <v>54</v>
      </c>
    </row>
    <row r="1153" spans="2:7" ht="18" hidden="1">
      <c r="B1153" s="55">
        <f>DATE(2026, 7, 29)</f>
        <v>46232</v>
      </c>
      <c r="C1153" s="79">
        <v>-200</v>
      </c>
      <c r="D1153" s="14" t="s">
        <v>148</v>
      </c>
      <c r="E1153" s="5" t="s">
        <v>118</v>
      </c>
      <c r="F1153" s="5" t="s">
        <v>38</v>
      </c>
      <c r="G1153" s="5" t="s">
        <v>49</v>
      </c>
    </row>
    <row r="1154" spans="2:7" ht="18" hidden="1">
      <c r="B1154" s="55">
        <f>DATE(2026, 7, 29)</f>
        <v>46232</v>
      </c>
      <c r="C1154" s="79">
        <v>-60</v>
      </c>
      <c r="D1154" s="14" t="s">
        <v>95</v>
      </c>
      <c r="E1154" s="5" t="s">
        <v>118</v>
      </c>
      <c r="F1154" s="5" t="s">
        <v>38</v>
      </c>
      <c r="G1154" s="5" t="s">
        <v>51</v>
      </c>
    </row>
    <row r="1155" spans="2:7" ht="18" hidden="1">
      <c r="B1155" s="55">
        <f>DATE(2026, 7, 30)</f>
        <v>46233</v>
      </c>
      <c r="C1155" s="79">
        <v>-46</v>
      </c>
      <c r="D1155" s="14" t="s">
        <v>95</v>
      </c>
      <c r="E1155" s="5" t="s">
        <v>118</v>
      </c>
      <c r="F1155" s="5" t="s">
        <v>38</v>
      </c>
      <c r="G1155" s="5" t="s">
        <v>51</v>
      </c>
    </row>
    <row r="1156" spans="2:7" ht="18" hidden="1">
      <c r="B1156" s="55">
        <f>DATE(2026, 7, 30)</f>
        <v>46233</v>
      </c>
      <c r="C1156" s="79">
        <v>-350</v>
      </c>
      <c r="D1156" s="14" t="s">
        <v>148</v>
      </c>
      <c r="E1156" s="5" t="s">
        <v>118</v>
      </c>
      <c r="F1156" s="5" t="s">
        <v>38</v>
      </c>
      <c r="G1156" s="5" t="s">
        <v>49</v>
      </c>
    </row>
    <row r="1157" spans="2:7" ht="18" hidden="1">
      <c r="B1157" s="55">
        <f>DATE(2026, 7, 30)</f>
        <v>46233</v>
      </c>
      <c r="C1157" s="79">
        <v>-6</v>
      </c>
      <c r="D1157" s="14" t="s">
        <v>95</v>
      </c>
      <c r="E1157" s="5" t="s">
        <v>118</v>
      </c>
      <c r="F1157" s="5" t="s">
        <v>38</v>
      </c>
      <c r="G1157" s="5" t="s">
        <v>51</v>
      </c>
    </row>
    <row r="1158" spans="2:7" ht="18" hidden="1">
      <c r="B1158" s="55">
        <f>DATE(2026, 7, 30)</f>
        <v>46233</v>
      </c>
      <c r="C1158" s="79">
        <v>2000</v>
      </c>
      <c r="D1158" s="14" t="s">
        <v>147</v>
      </c>
      <c r="E1158" s="5" t="s">
        <v>34</v>
      </c>
      <c r="F1158" s="5" t="s">
        <v>37</v>
      </c>
      <c r="G1158" s="5" t="s">
        <v>45</v>
      </c>
    </row>
    <row r="1159" spans="2:7" ht="18" hidden="1">
      <c r="B1159" s="55">
        <f>DATE(2026, 7, 31)</f>
        <v>46234</v>
      </c>
      <c r="C1159" s="79">
        <v>-110</v>
      </c>
      <c r="D1159" s="14" t="s">
        <v>147</v>
      </c>
      <c r="E1159" s="5" t="s">
        <v>118</v>
      </c>
      <c r="F1159" s="5" t="s">
        <v>53</v>
      </c>
      <c r="G1159" s="5" t="s">
        <v>54</v>
      </c>
    </row>
    <row r="1160" spans="2:7" ht="18" hidden="1">
      <c r="B1160" s="55">
        <f>DATE(2026, 8, 1)</f>
        <v>46235</v>
      </c>
      <c r="C1160" s="79">
        <v>-442.233</v>
      </c>
      <c r="D1160" s="14" t="s">
        <v>147</v>
      </c>
      <c r="E1160" s="5" t="s">
        <v>118</v>
      </c>
      <c r="F1160" s="5" t="s">
        <v>38</v>
      </c>
      <c r="G1160" s="5" t="s">
        <v>50</v>
      </c>
    </row>
    <row r="1161" spans="2:7" ht="18" hidden="1">
      <c r="B1161" s="55">
        <f>DATE(2026, 8, 2)</f>
        <v>46236</v>
      </c>
      <c r="C1161" s="79">
        <v>-60</v>
      </c>
      <c r="D1161" s="14" t="s">
        <v>147</v>
      </c>
      <c r="E1161" s="5" t="s">
        <v>118</v>
      </c>
      <c r="F1161" s="5" t="s">
        <v>53</v>
      </c>
      <c r="G1161" s="5" t="s">
        <v>54</v>
      </c>
    </row>
    <row r="1162" spans="2:7" ht="18" hidden="1">
      <c r="B1162" s="55">
        <f>DATE(2026, 8, 3)</f>
        <v>46237</v>
      </c>
      <c r="C1162" s="79">
        <v>-80</v>
      </c>
      <c r="D1162" s="14" t="s">
        <v>147</v>
      </c>
      <c r="E1162" s="5" t="s">
        <v>118</v>
      </c>
      <c r="F1162" s="5" t="s">
        <v>38</v>
      </c>
      <c r="G1162" s="5" t="s">
        <v>51</v>
      </c>
    </row>
    <row r="1163" spans="2:7" ht="18" hidden="1">
      <c r="B1163" s="55">
        <f>DATE(2026, 8, 3)</f>
        <v>46237</v>
      </c>
      <c r="C1163" s="79">
        <f>262+11</f>
        <v>273</v>
      </c>
      <c r="D1163" s="14" t="s">
        <v>147</v>
      </c>
      <c r="E1163" s="5" t="s">
        <v>34</v>
      </c>
      <c r="F1163" s="5" t="s">
        <v>37</v>
      </c>
      <c r="G1163" s="5" t="s">
        <v>142</v>
      </c>
    </row>
    <row r="1164" spans="2:7" ht="18" hidden="1">
      <c r="B1164" s="55">
        <f>DATE(2026, 8, 3)</f>
        <v>46237</v>
      </c>
      <c r="C1164" s="79">
        <v>1000</v>
      </c>
      <c r="D1164" s="14" t="s">
        <v>147</v>
      </c>
      <c r="E1164" s="5" t="s">
        <v>34</v>
      </c>
      <c r="F1164" s="5" t="s">
        <v>37</v>
      </c>
      <c r="G1164" s="5" t="s">
        <v>143</v>
      </c>
    </row>
    <row r="1165" spans="2:7" ht="18" hidden="1">
      <c r="B1165" s="55">
        <f>DATE(2026, 8, 4)</f>
        <v>46238</v>
      </c>
      <c r="C1165" s="79">
        <v>2880</v>
      </c>
      <c r="D1165" s="14" t="s">
        <v>147</v>
      </c>
      <c r="E1165" s="5" t="s">
        <v>34</v>
      </c>
      <c r="F1165" s="5" t="s">
        <v>37</v>
      </c>
      <c r="G1165" s="5" t="s">
        <v>143</v>
      </c>
    </row>
    <row r="1166" spans="2:7" ht="18" hidden="1">
      <c r="B1166" s="55">
        <f>DATE(2026, 8, 4)</f>
        <v>46238</v>
      </c>
      <c r="C1166" s="79">
        <v>-140</v>
      </c>
      <c r="D1166" s="14" t="s">
        <v>148</v>
      </c>
      <c r="E1166" s="5" t="s">
        <v>118</v>
      </c>
      <c r="F1166" s="5" t="s">
        <v>38</v>
      </c>
      <c r="G1166" s="5" t="s">
        <v>49</v>
      </c>
    </row>
    <row r="1167" spans="2:7" ht="18" hidden="1">
      <c r="B1167" s="55">
        <f>DATE(2026, 8, 5)</f>
        <v>46239</v>
      </c>
      <c r="C1167" s="79">
        <v>-90</v>
      </c>
      <c r="D1167" s="14" t="s">
        <v>147</v>
      </c>
      <c r="E1167" s="5" t="s">
        <v>118</v>
      </c>
      <c r="F1167" s="5" t="s">
        <v>53</v>
      </c>
      <c r="G1167" s="5" t="s">
        <v>54</v>
      </c>
    </row>
    <row r="1168" spans="2:7" ht="18" hidden="1">
      <c r="B1168" s="55">
        <f>DATE(2026, 8, 5)</f>
        <v>46239</v>
      </c>
      <c r="C1168" s="79">
        <v>-10</v>
      </c>
      <c r="D1168" s="14" t="s">
        <v>145</v>
      </c>
      <c r="E1168" s="5" t="s">
        <v>118</v>
      </c>
      <c r="F1168" s="5" t="s">
        <v>53</v>
      </c>
      <c r="G1168" s="5" t="s">
        <v>55</v>
      </c>
    </row>
    <row r="1169" spans="2:7" ht="18" hidden="1">
      <c r="B1169" s="55">
        <f>DATE(2026, 8, 5)</f>
        <v>46239</v>
      </c>
      <c r="C1169" s="79">
        <v>-2843</v>
      </c>
      <c r="D1169" s="14" t="s">
        <v>146</v>
      </c>
      <c r="E1169" s="5" t="s">
        <v>118</v>
      </c>
      <c r="F1169" s="5" t="s">
        <v>38</v>
      </c>
      <c r="G1169" s="5" t="s">
        <v>48</v>
      </c>
    </row>
    <row r="1170" spans="2:7" ht="18" hidden="1">
      <c r="B1170" s="55">
        <f>DATE(2026, 8, 6)</f>
        <v>46240</v>
      </c>
      <c r="C1170" s="79">
        <v>-9</v>
      </c>
      <c r="D1170" s="14" t="s">
        <v>145</v>
      </c>
      <c r="E1170" s="5" t="s">
        <v>118</v>
      </c>
      <c r="F1170" s="5" t="s">
        <v>53</v>
      </c>
      <c r="G1170" s="5" t="s">
        <v>55</v>
      </c>
    </row>
    <row r="1171" spans="2:7" ht="18" hidden="1">
      <c r="B1171" s="55">
        <f>DATE(2026, 8, 6)</f>
        <v>46240</v>
      </c>
      <c r="C1171" s="79">
        <v>-1E-3</v>
      </c>
      <c r="D1171" s="14" t="s">
        <v>145</v>
      </c>
      <c r="E1171" s="5" t="s">
        <v>118</v>
      </c>
      <c r="F1171" s="5" t="s">
        <v>53</v>
      </c>
      <c r="G1171" s="5" t="s">
        <v>55</v>
      </c>
    </row>
    <row r="1172" spans="2:7" ht="18" hidden="1">
      <c r="B1172" s="55">
        <f>DATE(2026, 8, 6)</f>
        <v>46240</v>
      </c>
      <c r="C1172" s="79">
        <v>-125</v>
      </c>
      <c r="D1172" s="14" t="s">
        <v>95</v>
      </c>
      <c r="E1172" s="5" t="s">
        <v>118</v>
      </c>
      <c r="F1172" s="5" t="s">
        <v>38</v>
      </c>
      <c r="G1172" s="5" t="s">
        <v>51</v>
      </c>
    </row>
    <row r="1173" spans="2:7" ht="18" hidden="1">
      <c r="B1173" s="55">
        <f>DATE(2026, 8, 7)</f>
        <v>46241</v>
      </c>
      <c r="C1173" s="79">
        <v>-177.327</v>
      </c>
      <c r="D1173" s="14" t="s">
        <v>147</v>
      </c>
      <c r="E1173" s="5" t="s">
        <v>118</v>
      </c>
      <c r="F1173" s="5" t="s">
        <v>38</v>
      </c>
      <c r="G1173" s="5" t="s">
        <v>49</v>
      </c>
    </row>
    <row r="1174" spans="2:7" ht="18" hidden="1">
      <c r="B1174" s="55">
        <f>DATE(2026, 8, 8)</f>
        <v>46242</v>
      </c>
      <c r="C1174" s="79">
        <f>-200-270-120-690-281</f>
        <v>-1561</v>
      </c>
      <c r="D1174" s="14" t="s">
        <v>144</v>
      </c>
      <c r="E1174" s="5" t="s">
        <v>118</v>
      </c>
      <c r="F1174" s="5" t="s">
        <v>53</v>
      </c>
      <c r="G1174" s="5" t="s">
        <v>57</v>
      </c>
    </row>
    <row r="1175" spans="2:7" ht="18" hidden="1">
      <c r="B1175" s="55">
        <f>DATE(2026, 8, 10)</f>
        <v>46244</v>
      </c>
      <c r="C1175" s="79">
        <v>2000</v>
      </c>
      <c r="D1175" s="14" t="s">
        <v>147</v>
      </c>
      <c r="E1175" s="5" t="s">
        <v>34</v>
      </c>
      <c r="F1175" s="5" t="s">
        <v>37</v>
      </c>
      <c r="G1175" s="5" t="s">
        <v>143</v>
      </c>
    </row>
    <row r="1176" spans="2:7" ht="18" hidden="1">
      <c r="B1176" s="55">
        <f>DATE(2026, 8, 10)</f>
        <v>46244</v>
      </c>
      <c r="C1176" s="79">
        <v>-3</v>
      </c>
      <c r="D1176" s="14" t="s">
        <v>95</v>
      </c>
      <c r="E1176" s="5" t="s">
        <v>118</v>
      </c>
      <c r="F1176" s="5" t="s">
        <v>38</v>
      </c>
      <c r="G1176" s="5" t="s">
        <v>51</v>
      </c>
    </row>
    <row r="1177" spans="2:7" ht="18" hidden="1">
      <c r="B1177" s="55">
        <f>DATE(2026, 8, 10)</f>
        <v>46244</v>
      </c>
      <c r="C1177" s="79">
        <v>-90</v>
      </c>
      <c r="D1177" s="14" t="s">
        <v>95</v>
      </c>
      <c r="E1177" s="5" t="s">
        <v>118</v>
      </c>
      <c r="F1177" s="5" t="s">
        <v>38</v>
      </c>
      <c r="G1177" s="5" t="s">
        <v>51</v>
      </c>
    </row>
    <row r="1178" spans="2:7" ht="18" hidden="1">
      <c r="B1178" s="55">
        <f>DATE(2026, 8, 10)</f>
        <v>46244</v>
      </c>
      <c r="C1178" s="79">
        <v>-20</v>
      </c>
      <c r="D1178" s="14" t="s">
        <v>147</v>
      </c>
      <c r="E1178" s="5" t="s">
        <v>118</v>
      </c>
      <c r="F1178" s="5" t="s">
        <v>38</v>
      </c>
      <c r="G1178" s="5" t="s">
        <v>50</v>
      </c>
    </row>
    <row r="1179" spans="2:7" ht="18" hidden="1">
      <c r="B1179" s="55">
        <f>DATE(2026, 8, 11)</f>
        <v>46245</v>
      </c>
      <c r="C1179" s="79">
        <v>-3</v>
      </c>
      <c r="D1179" s="14" t="s">
        <v>95</v>
      </c>
      <c r="E1179" s="5" t="s">
        <v>118</v>
      </c>
      <c r="F1179" s="5" t="s">
        <v>38</v>
      </c>
      <c r="G1179" s="5" t="s">
        <v>51</v>
      </c>
    </row>
    <row r="1180" spans="2:7" ht="18" hidden="1">
      <c r="B1180" s="55">
        <f>DATE(2026, 8, 11)</f>
        <v>46245</v>
      </c>
      <c r="C1180" s="79">
        <v>-70</v>
      </c>
      <c r="D1180" s="14" t="s">
        <v>95</v>
      </c>
      <c r="E1180" s="5" t="s">
        <v>118</v>
      </c>
      <c r="F1180" s="5" t="s">
        <v>38</v>
      </c>
      <c r="G1180" s="5" t="s">
        <v>51</v>
      </c>
    </row>
    <row r="1181" spans="2:7" ht="18" hidden="1">
      <c r="B1181" s="55">
        <f>DATE(2026, 8, 14)</f>
        <v>46248</v>
      </c>
      <c r="C1181" s="79">
        <v>-58.015000000000001</v>
      </c>
      <c r="D1181" s="14" t="s">
        <v>147</v>
      </c>
      <c r="E1181" s="5" t="s">
        <v>118</v>
      </c>
      <c r="F1181" s="5" t="s">
        <v>38</v>
      </c>
      <c r="G1181" s="5" t="s">
        <v>50</v>
      </c>
    </row>
    <row r="1182" spans="2:7" ht="18" hidden="1">
      <c r="B1182" s="55">
        <f>DATE(2026, 8, 14)</f>
        <v>46248</v>
      </c>
      <c r="C1182" s="79">
        <v>-74.162000000000006</v>
      </c>
      <c r="D1182" s="14" t="s">
        <v>147</v>
      </c>
      <c r="E1182" s="5" t="s">
        <v>118</v>
      </c>
      <c r="F1182" s="5" t="s">
        <v>38</v>
      </c>
      <c r="G1182" s="5" t="s">
        <v>50</v>
      </c>
    </row>
    <row r="1183" spans="2:7" ht="18" hidden="1">
      <c r="B1183" s="55">
        <f>DATE(2026, 8, 15)</f>
        <v>46249</v>
      </c>
      <c r="C1183" s="79">
        <v>-8</v>
      </c>
      <c r="D1183" s="14" t="s">
        <v>95</v>
      </c>
      <c r="E1183" s="5" t="s">
        <v>118</v>
      </c>
      <c r="F1183" s="5" t="s">
        <v>53</v>
      </c>
      <c r="G1183" s="5" t="s">
        <v>54</v>
      </c>
    </row>
    <row r="1184" spans="2:7" ht="18" hidden="1">
      <c r="B1184" s="55">
        <f>DATE(2026, 8, 15)</f>
        <v>46249</v>
      </c>
      <c r="C1184" s="79">
        <v>-3</v>
      </c>
      <c r="D1184" s="14" t="s">
        <v>95</v>
      </c>
      <c r="E1184" s="5" t="s">
        <v>118</v>
      </c>
      <c r="F1184" s="5" t="s">
        <v>38</v>
      </c>
      <c r="G1184" s="5" t="s">
        <v>51</v>
      </c>
    </row>
    <row r="1185" spans="2:7" ht="18" hidden="1">
      <c r="B1185" s="55">
        <f>DATE(2026, 8, 15)</f>
        <v>46249</v>
      </c>
      <c r="C1185" s="79">
        <v>-15</v>
      </c>
      <c r="D1185" s="14" t="s">
        <v>147</v>
      </c>
      <c r="E1185" s="5" t="s">
        <v>118</v>
      </c>
      <c r="F1185" s="5" t="s">
        <v>38</v>
      </c>
      <c r="G1185" s="5" t="s">
        <v>51</v>
      </c>
    </row>
    <row r="1186" spans="2:7" ht="18" hidden="1">
      <c r="B1186" s="55">
        <f>DATE(2026, 8, 15)</f>
        <v>46249</v>
      </c>
      <c r="C1186" s="79">
        <v>-80</v>
      </c>
      <c r="D1186" s="14" t="s">
        <v>95</v>
      </c>
      <c r="E1186" s="5" t="s">
        <v>118</v>
      </c>
      <c r="F1186" s="5" t="s">
        <v>38</v>
      </c>
      <c r="G1186" s="5" t="s">
        <v>51</v>
      </c>
    </row>
    <row r="1187" spans="2:7" ht="18" hidden="1">
      <c r="B1187" s="55">
        <f>DATE(2026, 8, 15)</f>
        <v>46249</v>
      </c>
      <c r="C1187" s="79">
        <v>-92</v>
      </c>
      <c r="D1187" s="14" t="s">
        <v>147</v>
      </c>
      <c r="E1187" s="5" t="s">
        <v>118</v>
      </c>
      <c r="F1187" s="5" t="s">
        <v>53</v>
      </c>
      <c r="G1187" s="5" t="s">
        <v>54</v>
      </c>
    </row>
    <row r="1188" spans="2:7" ht="18">
      <c r="B1188" s="55">
        <f>DATE(2026, 8, 16)</f>
        <v>46250</v>
      </c>
      <c r="C1188" s="79">
        <v>50</v>
      </c>
      <c r="D1188" s="14" t="s">
        <v>147</v>
      </c>
      <c r="E1188" s="5" t="s">
        <v>34</v>
      </c>
      <c r="F1188" s="5" t="s">
        <v>35</v>
      </c>
      <c r="G1188" s="5" t="s">
        <v>39</v>
      </c>
    </row>
    <row r="1189" spans="2:7" ht="18">
      <c r="B1189" s="55">
        <f>DATE(2026, 8, 16)</f>
        <v>46250</v>
      </c>
      <c r="C1189" s="79">
        <v>2.3E-2</v>
      </c>
      <c r="D1189" s="14" t="s">
        <v>147</v>
      </c>
      <c r="E1189" s="5" t="s">
        <v>34</v>
      </c>
      <c r="F1189" s="5" t="s">
        <v>36</v>
      </c>
      <c r="G1189" s="5" t="s">
        <v>43</v>
      </c>
    </row>
    <row r="1190" spans="2:7" ht="18">
      <c r="B1190" s="55">
        <f>DATE(2026, 8, 17)</f>
        <v>46251</v>
      </c>
      <c r="C1190" s="79">
        <v>-3</v>
      </c>
      <c r="D1190" s="14" t="s">
        <v>95</v>
      </c>
      <c r="E1190" s="5" t="s">
        <v>118</v>
      </c>
      <c r="F1190" s="5" t="s">
        <v>38</v>
      </c>
      <c r="G1190" s="5" t="s">
        <v>51</v>
      </c>
    </row>
    <row r="1191" spans="2:7" ht="18">
      <c r="B1191" s="55">
        <f>DATE(2026, 8, 17)</f>
        <v>46251</v>
      </c>
      <c r="C1191" s="79">
        <v>-100</v>
      </c>
      <c r="D1191" s="14" t="s">
        <v>95</v>
      </c>
      <c r="E1191" s="5" t="s">
        <v>118</v>
      </c>
      <c r="F1191" s="5" t="s">
        <v>38</v>
      </c>
      <c r="G1191" s="5" t="s">
        <v>52</v>
      </c>
    </row>
    <row r="1192" spans="2:7" ht="18">
      <c r="B1192" s="55">
        <f>DATE(2026, 8, 18)</f>
        <v>46252</v>
      </c>
      <c r="C1192" s="79">
        <v>-3</v>
      </c>
      <c r="D1192" s="14" t="s">
        <v>95</v>
      </c>
      <c r="E1192" s="5" t="s">
        <v>118</v>
      </c>
      <c r="F1192" s="5" t="s">
        <v>38</v>
      </c>
      <c r="G1192" s="5" t="s">
        <v>51</v>
      </c>
    </row>
    <row r="1193" spans="2:7" ht="18">
      <c r="B1193" s="55">
        <f>DATE(2026, 8, 18)</f>
        <v>46252</v>
      </c>
      <c r="C1193" s="79">
        <v>-15</v>
      </c>
      <c r="D1193" s="14" t="s">
        <v>147</v>
      </c>
      <c r="E1193" s="5" t="s">
        <v>118</v>
      </c>
      <c r="F1193" s="5" t="s">
        <v>38</v>
      </c>
      <c r="G1193" s="5" t="s">
        <v>50</v>
      </c>
    </row>
    <row r="1194" spans="2:7" ht="18">
      <c r="B1194" s="55">
        <f>DATE(2026, 8, 15)</f>
        <v>46249</v>
      </c>
      <c r="C1194" s="79">
        <v>-75</v>
      </c>
      <c r="D1194" s="14" t="s">
        <v>147</v>
      </c>
      <c r="E1194" s="5" t="s">
        <v>118</v>
      </c>
      <c r="F1194" s="5" t="s">
        <v>53</v>
      </c>
      <c r="G1194" s="5" t="s">
        <v>54</v>
      </c>
    </row>
    <row r="1195" spans="2:7" ht="18">
      <c r="B1195" s="55">
        <f>DATE(2026, 8, 19)</f>
        <v>46253</v>
      </c>
      <c r="C1195" s="79">
        <v>-83.343000000000004</v>
      </c>
      <c r="D1195" s="14" t="s">
        <v>147</v>
      </c>
      <c r="E1195" s="5" t="s">
        <v>118</v>
      </c>
      <c r="F1195" s="5" t="s">
        <v>38</v>
      </c>
      <c r="G1195" s="5" t="s">
        <v>51</v>
      </c>
    </row>
    <row r="1196" spans="2:7" ht="18">
      <c r="B1196" s="204">
        <f>DATE(2026, 8, 20)</f>
        <v>46254</v>
      </c>
      <c r="C1196" s="79">
        <v>-25</v>
      </c>
      <c r="D1196" s="205" t="s">
        <v>95</v>
      </c>
      <c r="E1196" s="206" t="s">
        <v>118</v>
      </c>
      <c r="F1196" s="206" t="s">
        <v>53</v>
      </c>
      <c r="G1196" s="206" t="s">
        <v>55</v>
      </c>
    </row>
    <row r="1197" spans="2:7" ht="18">
      <c r="B1197" s="204">
        <f>DATE(2026, 8, 20)</f>
        <v>46254</v>
      </c>
      <c r="C1197" s="79">
        <v>-40</v>
      </c>
      <c r="D1197" s="205" t="s">
        <v>147</v>
      </c>
      <c r="E1197" s="206" t="s">
        <v>118</v>
      </c>
      <c r="F1197" s="206" t="s">
        <v>53</v>
      </c>
      <c r="G1197" s="206" t="s">
        <v>54</v>
      </c>
    </row>
    <row r="1198" spans="2:7" ht="18">
      <c r="B1198" s="204"/>
      <c r="C1198" s="79"/>
      <c r="D1198" s="205"/>
      <c r="E1198" s="206"/>
      <c r="F1198" s="206"/>
      <c r="G1198" s="206"/>
    </row>
    <row r="1199" spans="2:7" ht="16.5">
      <c r="B1199" s="13" t="s">
        <v>71</v>
      </c>
    </row>
    <row r="1200" spans="2:7" ht="19.5">
      <c r="B1200" s="31" t="s">
        <v>28</v>
      </c>
      <c r="C1200" s="31" t="s">
        <v>29</v>
      </c>
      <c r="D1200" s="31" t="s">
        <v>72</v>
      </c>
      <c r="E1200" s="31" t="s">
        <v>73</v>
      </c>
    </row>
    <row r="1201" spans="2:5" ht="18" hidden="1">
      <c r="B1201" s="55">
        <f>DATE(2026,7,23)</f>
        <v>46226</v>
      </c>
      <c r="C1201" s="79">
        <v>1156.425</v>
      </c>
      <c r="D1201" s="14" t="s">
        <v>95</v>
      </c>
      <c r="E1201" s="14"/>
    </row>
    <row r="1202" spans="2:5" ht="18" hidden="1">
      <c r="B1202" s="55">
        <f>DATE(2026,7,23)</f>
        <v>46226</v>
      </c>
      <c r="C1202" s="79">
        <v>57511.334999999999</v>
      </c>
      <c r="D1202" s="14" t="s">
        <v>147</v>
      </c>
      <c r="E1202" s="14"/>
    </row>
    <row r="1203" spans="2:5" ht="18" hidden="1">
      <c r="B1203" s="55">
        <f>DATE(2026,7,23)</f>
        <v>46226</v>
      </c>
      <c r="C1203" s="79">
        <v>21151.132000000001</v>
      </c>
      <c r="D1203" s="14"/>
      <c r="E1203" s="14" t="s">
        <v>148</v>
      </c>
    </row>
    <row r="1204" spans="2:5" ht="18" hidden="1">
      <c r="B1204" s="55">
        <f>DATE(2026,7,23)</f>
        <v>46226</v>
      </c>
      <c r="C1204" s="79">
        <v>125.849</v>
      </c>
      <c r="D1204" s="14"/>
      <c r="E1204" s="14" t="s">
        <v>150</v>
      </c>
    </row>
    <row r="1205" spans="2:5" ht="18" hidden="1">
      <c r="B1205" s="55">
        <f>DATE(2026,7,23)</f>
        <v>46226</v>
      </c>
      <c r="C1205" s="79">
        <v>20121.348999999998</v>
      </c>
      <c r="D1205" s="14"/>
      <c r="E1205" s="14" t="s">
        <v>149</v>
      </c>
    </row>
    <row r="1206" spans="2:5" ht="18" hidden="1">
      <c r="B1206" s="55">
        <f>DATE(2026,7,25)</f>
        <v>46228</v>
      </c>
      <c r="C1206" s="79">
        <v>250</v>
      </c>
      <c r="D1206" s="14" t="s">
        <v>148</v>
      </c>
      <c r="E1206" s="14" t="s">
        <v>95</v>
      </c>
    </row>
    <row r="1207" spans="2:5" ht="18" hidden="1">
      <c r="B1207" s="55">
        <f>DATE(2026,7,25)</f>
        <v>46228</v>
      </c>
      <c r="C1207" s="79">
        <v>3183.5790000000002</v>
      </c>
      <c r="D1207" s="14" t="s">
        <v>147</v>
      </c>
      <c r="E1207" s="14" t="s">
        <v>148</v>
      </c>
    </row>
    <row r="1208" spans="2:5" ht="18" hidden="1">
      <c r="B1208" s="55">
        <f>DATE(2026,7,25)</f>
        <v>46228</v>
      </c>
      <c r="C1208" s="79">
        <v>250</v>
      </c>
      <c r="D1208" s="14"/>
      <c r="E1208" s="14" t="s">
        <v>148</v>
      </c>
    </row>
    <row r="1209" spans="2:5" ht="18" hidden="1">
      <c r="B1209" s="55">
        <f>DATE(2026,7,29)</f>
        <v>46232</v>
      </c>
      <c r="C1209" s="79">
        <v>126.497</v>
      </c>
      <c r="D1209" s="14" t="s">
        <v>147</v>
      </c>
      <c r="E1209" s="14" t="s">
        <v>148</v>
      </c>
    </row>
    <row r="1210" spans="2:5" ht="18" hidden="1">
      <c r="B1210" s="55">
        <f>DATE(2026,7,30)</f>
        <v>46233</v>
      </c>
      <c r="C1210" s="79">
        <v>1850</v>
      </c>
      <c r="D1210" s="14" t="s">
        <v>147</v>
      </c>
      <c r="E1210" s="14" t="s">
        <v>148</v>
      </c>
    </row>
    <row r="1211" spans="2:5" ht="18" hidden="1">
      <c r="B1211" s="55">
        <f>DATE(2026,7,30)</f>
        <v>46233</v>
      </c>
      <c r="C1211" s="79">
        <v>18</v>
      </c>
      <c r="D1211" s="14" t="s">
        <v>95</v>
      </c>
      <c r="E1211" s="14"/>
    </row>
    <row r="1212" spans="2:5" ht="18" hidden="1">
      <c r="B1212" s="55">
        <f>DATE(2026,7,31)</f>
        <v>46234</v>
      </c>
      <c r="C1212" s="79">
        <v>2.8660000000000001</v>
      </c>
      <c r="D1212" s="14"/>
      <c r="E1212" s="14" t="s">
        <v>148</v>
      </c>
    </row>
    <row r="1213" spans="2:5" ht="18" hidden="1">
      <c r="B1213" s="55">
        <f>DATE(2026,7,31)</f>
        <v>46234</v>
      </c>
      <c r="C1213" s="79">
        <v>5</v>
      </c>
      <c r="D1213" s="14"/>
      <c r="E1213" s="14" t="s">
        <v>95</v>
      </c>
    </row>
    <row r="1214" spans="2:5" ht="18" hidden="1">
      <c r="B1214" s="55">
        <f>DATE(2026, 8, 1)</f>
        <v>46235</v>
      </c>
      <c r="C1214" s="79">
        <v>500</v>
      </c>
      <c r="D1214" s="14" t="s">
        <v>148</v>
      </c>
      <c r="E1214" s="14" t="s">
        <v>147</v>
      </c>
    </row>
    <row r="1215" spans="2:5" ht="18" hidden="1">
      <c r="B1215" s="55">
        <f t="shared" ref="B1215:B1221" si="1">DATE(2026, 8, 5)</f>
        <v>46239</v>
      </c>
      <c r="C1215" s="79">
        <v>14834.817999999999</v>
      </c>
      <c r="D1215" s="14" t="s">
        <v>149</v>
      </c>
      <c r="E1215" s="14"/>
    </row>
    <row r="1216" spans="2:5" ht="18" hidden="1">
      <c r="B1216" s="55">
        <f t="shared" si="1"/>
        <v>46239</v>
      </c>
      <c r="C1216" s="79">
        <v>3124.9180000000001</v>
      </c>
      <c r="D1216" s="14" t="s">
        <v>148</v>
      </c>
      <c r="E1216" s="14" t="s">
        <v>144</v>
      </c>
    </row>
    <row r="1217" spans="2:5" ht="18" hidden="1">
      <c r="B1217" s="55">
        <f t="shared" si="1"/>
        <v>46239</v>
      </c>
      <c r="C1217" s="79">
        <v>4034.27</v>
      </c>
      <c r="D1217" s="14" t="s">
        <v>147</v>
      </c>
      <c r="E1217" s="14" t="s">
        <v>144</v>
      </c>
    </row>
    <row r="1218" spans="2:5" ht="18" hidden="1">
      <c r="B1218" s="55">
        <f t="shared" si="1"/>
        <v>46239</v>
      </c>
      <c r="C1218" s="79">
        <v>6900</v>
      </c>
      <c r="D1218" s="14" t="s">
        <v>144</v>
      </c>
      <c r="E1218" s="14" t="s">
        <v>146</v>
      </c>
    </row>
    <row r="1219" spans="2:5" ht="18" hidden="1">
      <c r="B1219" s="55">
        <f t="shared" si="1"/>
        <v>46239</v>
      </c>
      <c r="C1219" s="79">
        <v>259.18799999999999</v>
      </c>
      <c r="D1219" s="14" t="s">
        <v>144</v>
      </c>
      <c r="E1219" s="14" t="s">
        <v>145</v>
      </c>
    </row>
    <row r="1220" spans="2:5" ht="18" hidden="1">
      <c r="B1220" s="55">
        <f t="shared" si="1"/>
        <v>46239</v>
      </c>
      <c r="C1220" s="79">
        <v>7.2759576141834308E-12</v>
      </c>
      <c r="D1220" s="14" t="s">
        <v>148</v>
      </c>
      <c r="E1220" s="14"/>
    </row>
    <row r="1221" spans="2:5" ht="18" hidden="1">
      <c r="B1221" s="55">
        <f t="shared" si="1"/>
        <v>46239</v>
      </c>
      <c r="C1221" s="79">
        <v>-3.3333334431517902E-4</v>
      </c>
      <c r="D1221" s="14" t="s">
        <v>147</v>
      </c>
      <c r="E1221" s="14"/>
    </row>
    <row r="1222" spans="2:5" ht="18" hidden="1">
      <c r="B1222" s="55">
        <f>DATE(2026, 8, 6)</f>
        <v>46240</v>
      </c>
      <c r="C1222" s="79">
        <v>240.18700000000001</v>
      </c>
      <c r="D1222" s="14" t="s">
        <v>145</v>
      </c>
      <c r="E1222" s="14" t="s">
        <v>147</v>
      </c>
    </row>
    <row r="1223" spans="2:5" ht="18" hidden="1">
      <c r="B1223" s="55">
        <f>DATE(2026, 8, 6)</f>
        <v>46240</v>
      </c>
      <c r="C1223" s="79">
        <v>4057</v>
      </c>
      <c r="D1223" s="14" t="s">
        <v>146</v>
      </c>
      <c r="E1223" s="14" t="s">
        <v>144</v>
      </c>
    </row>
    <row r="1224" spans="2:5" ht="18">
      <c r="B1224" s="55">
        <f>DATE(2026, 8, 10)</f>
        <v>46244</v>
      </c>
      <c r="C1224" s="79">
        <v>55</v>
      </c>
      <c r="D1224" s="14" t="s">
        <v>147</v>
      </c>
      <c r="E1224" s="14" t="s">
        <v>150</v>
      </c>
    </row>
    <row r="1225" spans="2:5" ht="18">
      <c r="B1225" s="55">
        <f>DATE(2026, 8, 11)</f>
        <v>46245</v>
      </c>
      <c r="C1225" s="79">
        <v>200</v>
      </c>
      <c r="D1225" s="14" t="s">
        <v>147</v>
      </c>
      <c r="E1225" s="14" t="s">
        <v>95</v>
      </c>
    </row>
    <row r="1226" spans="2:5" ht="18">
      <c r="B1226" s="55">
        <f>DATE(2026, 8, 14)</f>
        <v>46248</v>
      </c>
      <c r="C1226" s="79">
        <v>150</v>
      </c>
      <c r="D1226" s="14" t="s">
        <v>147</v>
      </c>
      <c r="E1226" s="14" t="s">
        <v>95</v>
      </c>
    </row>
  </sheetData>
  <mergeCells count="2">
    <mergeCell ref="U5:AF5"/>
    <mergeCell ref="B2:D3"/>
  </mergeCells>
  <phoneticPr fontId="8" type="noConversion"/>
  <conditionalFormatting sqref="C17:C1198">
    <cfRule type="expression" dxfId="3" priority="1">
      <formula>$C17&lt;=0</formula>
    </cfRule>
    <cfRule type="expression" dxfId="2" priority="2">
      <formula>$C17&gt;0</formula>
    </cfRule>
  </conditionalFormatting>
  <dataValidations count="15">
    <dataValidation type="custom" allowBlank="1" showInputMessage="1" showErrorMessage="1" sqref="H1546 F17:G17 B17:C17" xr:uid="{B988DB15-194D-4B38-AEA7-BB7CA5AE7CFF}">
      <formula1>#REF!&lt;&gt;""</formula1>
    </dataValidation>
    <dataValidation type="list" allowBlank="1" showInputMessage="1" showErrorMessage="1" sqref="F1143:F1149 F1151:F1157 F1159:F1162 F1166:F1174 F1176:F1187 F1190:F1198" xr:uid="{FC5757F6-6DBD-47AE-9A17-B6320D974972}">
      <formula1>"essentials,personal &amp; leisure,obligations &amp; transfers,savings &amp; investing"</formula1>
    </dataValidation>
    <dataValidation type="list" allowBlank="1" showInputMessage="1" showErrorMessage="1" sqref="G1143 G1145" xr:uid="{6C54FB1D-C653-4AD4-9714-5D2A99E741DB}">
      <formula1>"housing,utilities,food &amp; groceries,basic transit,healthcare"</formula1>
    </dataValidation>
    <dataValidation type="list" allowBlank="1" showInputMessage="1" showErrorMessage="1" sqref="G1144 G1147 G1152 G1159 G1161 G1167:G1168 G1170:G1171 G1174 G1183 G1187 G1194 G1196:G1198" xr:uid="{8E12AA7E-D657-41A9-87E3-E21E58509C79}">
      <formula1>"dining out,personal shopping,repairs &amp; maintenance,entertainment &amp; hobbies,travel &amp; vacation"</formula1>
    </dataValidation>
    <dataValidation type="list" allowBlank="1" showInputMessage="1" showErrorMessage="1" sqref="G1146 G1148 G1151 G1153:G1157 G1160 G1162 G1166 G1169 G1172:G1173 G1176:G1182 G1184:G1186 G1190:G1193 G1195" xr:uid="{3FC7DE3B-99B4-46B3-AC6B-9323FE15A393}">
      <formula1>"housing,utilities,food &amp; groceries,basic transit,healthcare,durable goods"</formula1>
    </dataValidation>
    <dataValidation type="list" allowBlank="1" showInputMessage="1" showErrorMessage="1" sqref="G1149" xr:uid="{33F8F3C9-E56E-4CCC-8BEA-C9F22FAE93E1}">
      <formula1>"debt repayment,taxes &amp; fees,family &amp; relations,religion &amp; charity"</formula1>
    </dataValidation>
    <dataValidation type="list" allowBlank="1" showInputMessage="1" showErrorMessage="1" sqref="F1150 F1158 F1163:F1165 F1175 F1188:F1189" xr:uid="{87F5F282-4603-4B8C-8B2A-B1614C67EC45}">
      <formula1>"employment,assets,other"</formula1>
    </dataValidation>
    <dataValidation type="list" allowBlank="1" showInputMessage="1" showErrorMessage="1" sqref="G1150 G1189" xr:uid="{B536C847-E051-44A2-A1C1-C2820E41BFB1}">
      <formula1>"interest &amp; bonds,dividends &amp; profits,property rental"</formula1>
    </dataValidation>
    <dataValidation type="list" allowBlank="1" showInputMessage="1" showErrorMessage="1" sqref="G1158" xr:uid="{9BD0FF81-3A04-4C92-B181-DF00AF07E082}">
      <formula1>"gifts &amp; inheritance,asset liquidation,other windfalls"</formula1>
    </dataValidation>
    <dataValidation type="list" allowBlank="1" showInputMessage="1" showErrorMessage="1" sqref="G1163" xr:uid="{8C2623BE-EF71-4C46-8121-58BD32F53875}">
      <formula1>"gifts &amp; inheritance,asset liquidation,reimbursement,other windfalls"</formula1>
    </dataValidation>
    <dataValidation type="list" allowBlank="1" showInputMessage="1" showErrorMessage="1" sqref="G1164:G1165 G1175" xr:uid="{607AA14B-F5F1-4006-972E-DD55A379020A}">
      <formula1>"family allowance,reimbursement,gifts &amp; inheritance,asset liquidation,other windfalls"</formula1>
    </dataValidation>
    <dataValidation type="list" allowBlank="1" showInputMessage="1" showErrorMessage="1" sqref="D1201:E1226" xr:uid="{FE936433-BB65-4FA7-9619-CF5503973053}">
      <formula1>INDIRECT("Wallets[wallet]")</formula1>
    </dataValidation>
    <dataValidation type="list" allowBlank="1" showInputMessage="1" showErrorMessage="1" sqref="E17:E1198" xr:uid="{31AA9797-AD9D-4FD7-B5E1-BA1277C1F815}">
      <formula1>INDIRECT("classification[type]")</formula1>
    </dataValidation>
    <dataValidation type="list" allowBlank="1" showInputMessage="1" showErrorMessage="1" sqref="D17:D1198" xr:uid="{F7DC0155-3522-4F50-844E-E724A781CF76}">
      <formula1>INDIRECT("wallets[wallet]")</formula1>
    </dataValidation>
    <dataValidation type="list" allowBlank="1" showInputMessage="1" showErrorMessage="1" sqref="G1188" xr:uid="{8676588A-8589-40CE-AE4A-7D6FD55150C5}">
      <formula1>"base salary &amp; allowances,bonus &amp; commission,side income"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482CF-17AB-4ABF-ACFC-6EB29C664A43}">
  <sheetPr codeName="Sheet4"/>
  <dimension ref="B2:H15"/>
  <sheetViews>
    <sheetView zoomScale="145" zoomScaleNormal="145" workbookViewId="0">
      <selection activeCell="B2" sqref="B2:C3"/>
    </sheetView>
  </sheetViews>
  <sheetFormatPr defaultRowHeight="14.25"/>
  <cols>
    <col min="1" max="1" width="3" style="4" customWidth="1"/>
    <col min="2" max="2" width="17.19921875" style="4" bestFit="1" customWidth="1"/>
    <col min="3" max="3" width="9.19921875" style="4" bestFit="1" customWidth="1"/>
    <col min="4" max="4" width="17.19921875" style="4" bestFit="1" customWidth="1"/>
    <col min="5" max="5" width="16.296875" style="4" customWidth="1"/>
    <col min="6" max="6" width="13.296875" style="4" customWidth="1"/>
    <col min="7" max="7" width="13.796875" style="4" customWidth="1"/>
    <col min="8" max="8" width="27" style="4" customWidth="1"/>
    <col min="9" max="9" width="5.09765625" style="4" customWidth="1"/>
    <col min="10" max="10" width="4" style="4" bestFit="1" customWidth="1"/>
    <col min="11" max="11" width="4.796875" style="4" bestFit="1" customWidth="1"/>
    <col min="12" max="12" width="9.09765625" style="4" bestFit="1" customWidth="1"/>
    <col min="13" max="16384" width="8.796875" style="4"/>
  </cols>
  <sheetData>
    <row r="2" spans="2:8" ht="14.25" customHeight="1">
      <c r="B2" s="199" t="s">
        <v>91</v>
      </c>
      <c r="C2" s="199"/>
      <c r="D2" s="159" t="s">
        <v>116</v>
      </c>
      <c r="E2" s="161">
        <f>SUMIF(debt[type], "=lend", debt[amount]) - SUMIF(debt[type], "=collect", debt[amount]) - SUMIF(debt[type], "=write-off lend", debt[amount])</f>
        <v>50</v>
      </c>
    </row>
    <row r="3" spans="2:8" ht="14.25" customHeight="1">
      <c r="B3" s="199"/>
      <c r="C3" s="199"/>
      <c r="D3" s="160" t="s">
        <v>114</v>
      </c>
      <c r="E3" s="162">
        <f>SUMIF(debt[type], "=borrow", debt[amount]) - SUMIF(debt[type], "=repay", debt[amount]) - SUMIF(debt[type], "=write-off borrow", debt[amount])</f>
        <v>0</v>
      </c>
    </row>
    <row r="5" spans="2:8" ht="16.5">
      <c r="B5" s="13" t="s">
        <v>92</v>
      </c>
    </row>
    <row r="6" spans="2:8" ht="19.5">
      <c r="B6" s="158" t="s">
        <v>132</v>
      </c>
      <c r="C6" t="s">
        <v>29</v>
      </c>
      <c r="D6"/>
    </row>
    <row r="7" spans="2:8" ht="18">
      <c r="B7" s="134" t="s">
        <v>152</v>
      </c>
      <c r="C7" s="191">
        <v>50</v>
      </c>
      <c r="D7"/>
    </row>
    <row r="8" spans="2:8" ht="18">
      <c r="B8" s="173" t="s">
        <v>27</v>
      </c>
      <c r="C8" s="192">
        <v>50</v>
      </c>
      <c r="D8"/>
    </row>
    <row r="9" spans="2:8" ht="18">
      <c r="B9"/>
      <c r="C9"/>
      <c r="D9"/>
    </row>
    <row r="10" spans="2:8" ht="18">
      <c r="B10"/>
      <c r="C10"/>
      <c r="D10"/>
    </row>
    <row r="11" spans="2:8" ht="18">
      <c r="B11"/>
      <c r="C11"/>
      <c r="D11"/>
    </row>
    <row r="12" spans="2:8" ht="18">
      <c r="B12"/>
      <c r="C12"/>
      <c r="D12"/>
    </row>
    <row r="13" spans="2:8" ht="16.5">
      <c r="B13" s="13" t="s">
        <v>90</v>
      </c>
    </row>
    <row r="14" spans="2:8" ht="19.5">
      <c r="B14" s="31" t="s">
        <v>28</v>
      </c>
      <c r="C14" s="31" t="s">
        <v>74</v>
      </c>
      <c r="D14" s="31" t="s">
        <v>75</v>
      </c>
      <c r="E14" s="31" t="s">
        <v>31</v>
      </c>
      <c r="F14" s="31" t="s">
        <v>29</v>
      </c>
      <c r="G14" s="31" t="s">
        <v>30</v>
      </c>
      <c r="H14" s="31" t="s">
        <v>76</v>
      </c>
    </row>
    <row r="15" spans="2:8" ht="18">
      <c r="B15" s="55">
        <f>DATE(2026, 8, 7)</f>
        <v>46241</v>
      </c>
      <c r="C15" s="5" t="s">
        <v>151</v>
      </c>
      <c r="D15" s="5" t="s">
        <v>152</v>
      </c>
      <c r="E15" s="5" t="s">
        <v>77</v>
      </c>
      <c r="F15" s="79">
        <v>50</v>
      </c>
      <c r="G15" s="14" t="s">
        <v>144</v>
      </c>
      <c r="H15" s="5"/>
    </row>
  </sheetData>
  <mergeCells count="1">
    <mergeCell ref="B2:C3"/>
  </mergeCells>
  <dataValidations count="2">
    <dataValidation type="list" allowBlank="1" showInputMessage="1" showErrorMessage="1" sqref="G15" xr:uid="{F1AA2B5B-9C4A-49EC-807C-B737A95978BB}">
      <formula1>INDIRECT("Wallets[wallet]")</formula1>
    </dataValidation>
    <dataValidation type="list" allowBlank="1" showInputMessage="1" showErrorMessage="1" sqref="E15" xr:uid="{CC9AA362-37B4-4271-BA77-60864C3536DC}">
      <formula1>INDIRECT("debt_type[type]")</formula1>
    </dataValidation>
  </dataValidation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5DDB8-2CE9-44A2-B654-D2A0FA1740AE}">
  <sheetPr codeName="Sheet6"/>
  <dimension ref="A1:L84"/>
  <sheetViews>
    <sheetView zoomScale="125" zoomScaleNormal="125" workbookViewId="0">
      <selection activeCell="B2" sqref="B2:D3"/>
    </sheetView>
  </sheetViews>
  <sheetFormatPr defaultColWidth="8.796875" defaultRowHeight="14.25"/>
  <cols>
    <col min="1" max="1" width="3.69921875" style="2" customWidth="1"/>
    <col min="2" max="2" width="11.296875" style="2" customWidth="1"/>
    <col min="3" max="3" width="12.796875" style="2" customWidth="1"/>
    <col min="4" max="4" width="12.5" style="2" bestFit="1" customWidth="1"/>
    <col min="5" max="5" width="15.19921875" style="2" bestFit="1" customWidth="1"/>
    <col min="6" max="6" width="12.5" style="2" bestFit="1" customWidth="1"/>
    <col min="7" max="7" width="10.3984375" style="2" bestFit="1" customWidth="1"/>
    <col min="8" max="9" width="10.8984375" style="2" customWidth="1"/>
    <col min="10" max="10" width="13.296875" style="2" bestFit="1" customWidth="1"/>
    <col min="11" max="11" width="11.8984375" style="2" customWidth="1"/>
    <col min="12" max="12" width="7.796875" style="2" customWidth="1"/>
    <col min="13" max="13" width="7.59765625" style="2" customWidth="1"/>
    <col min="14" max="16384" width="8.796875" style="2"/>
  </cols>
  <sheetData>
    <row r="1" spans="1:12" ht="10.15" customHeight="1"/>
    <row r="2" spans="1:12" ht="15" customHeight="1">
      <c r="B2" s="203" t="s">
        <v>102</v>
      </c>
      <c r="C2" s="203"/>
      <c r="D2" s="203"/>
      <c r="E2" s="16"/>
    </row>
    <row r="3" spans="1:12" ht="15" customHeight="1">
      <c r="A3" s="16"/>
      <c r="B3" s="203"/>
      <c r="C3" s="203"/>
      <c r="D3" s="203"/>
      <c r="E3" s="16"/>
    </row>
    <row r="4" spans="1:12" ht="15" customHeight="1">
      <c r="A4" s="16"/>
      <c r="B4" s="33"/>
      <c r="C4" s="33"/>
      <c r="D4" s="33"/>
      <c r="E4" s="33"/>
    </row>
    <row r="5" spans="1:12" ht="15" customHeight="1">
      <c r="A5" s="16"/>
      <c r="B5" s="13" t="s">
        <v>93</v>
      </c>
      <c r="E5" s="3"/>
    </row>
    <row r="6" spans="1:12" s="64" customFormat="1" ht="17.25" customHeight="1">
      <c r="A6" s="9"/>
      <c r="B6" s="31" t="s">
        <v>94</v>
      </c>
      <c r="C6" s="31" t="s">
        <v>95</v>
      </c>
      <c r="D6" s="31" t="s">
        <v>133</v>
      </c>
      <c r="E6" s="31" t="s">
        <v>96</v>
      </c>
      <c r="F6" s="31" t="s">
        <v>134</v>
      </c>
      <c r="G6" s="31" t="s">
        <v>136</v>
      </c>
      <c r="H6" s="31" t="s">
        <v>135</v>
      </c>
      <c r="I6" s="31" t="s">
        <v>98</v>
      </c>
      <c r="J6" s="31" t="s">
        <v>99</v>
      </c>
      <c r="K6" s="31" t="s">
        <v>100</v>
      </c>
    </row>
    <row r="7" spans="1:12" s="69" customFormat="1" ht="15" customHeight="1">
      <c r="A7" s="67"/>
      <c r="B7" s="86" t="s">
        <v>109</v>
      </c>
      <c r="C7" s="68">
        <f>VLOOKUP(funds[[#This Row],[fund]], funds_cash[], 2,FALSE )</f>
        <v>10458.157999999999</v>
      </c>
      <c r="D7" s="178">
        <f ca="1">IFERROR(funds[[#This Row],[cash]]/funds[[#This Row],[total]], 0)</f>
        <v>0.52457289379405203</v>
      </c>
      <c r="E7" s="68">
        <f ca="1">SUMIFS(savings[balance], savings[fund], "="&amp;funds[[#This Row],[fund]])</f>
        <v>7552.0960217643833</v>
      </c>
      <c r="F7" s="178">
        <f ca="1">IFERROR(funds[[#This Row],[saving]]/funds[[#This Row],[total]], 0)</f>
        <v>0.37880713452096354</v>
      </c>
      <c r="G7" s="68">
        <f>SUMIFS(fund_certs[balance], fund_certs[fund], "="&amp;funds[[#This Row],[fund]])</f>
        <v>1926.2660000000001</v>
      </c>
      <c r="H7" s="178">
        <f ca="1">IFERROR(funds[[#This Row],[fund cert]]/funds[[#This Row],[total]], 0)</f>
        <v>9.6619971684984443E-2</v>
      </c>
      <c r="I7" s="68">
        <f ca="1">funds[[#This Row],[cash]]+funds[[#This Row],[saving]]+funds[[#This Row],[fund cert]]</f>
        <v>19936.520021764383</v>
      </c>
      <c r="J7" s="68">
        <v>30000</v>
      </c>
      <c r="K7" s="178">
        <f ca="1">IF(funds[[#This Row],[target]]=0, 1, funds[[#This Row],[total]]/funds[[#This Row],[target]])</f>
        <v>0.66455066739214608</v>
      </c>
    </row>
    <row r="8" spans="1:12" s="69" customFormat="1" ht="15" customHeight="1">
      <c r="A8" s="67"/>
      <c r="B8" s="89" t="s">
        <v>110</v>
      </c>
      <c r="C8" s="68">
        <f>VLOOKUP(funds[[#This Row],[fund]], funds_cash[], 2,FALSE )</f>
        <v>4326.66</v>
      </c>
      <c r="D8" s="178">
        <f ca="1">IFERROR(funds[[#This Row],[cash]]/funds[[#This Row],[total]], 0)</f>
        <v>0.5831761354405639</v>
      </c>
      <c r="E8" s="68">
        <f ca="1">SUMIFS(savings[balance], savings[fund], "="&amp;funds[[#This Row],[fund]])</f>
        <v>3092.4707515205482</v>
      </c>
      <c r="F8" s="178">
        <f ca="1">IFERROR(funds[[#This Row],[saving]]/funds[[#This Row],[total]], 0)</f>
        <v>0.4168238645594361</v>
      </c>
      <c r="G8" s="68">
        <f>SUMIFS(fund_certs[balance], fund_certs[fund], "="&amp;funds[[#This Row],[fund]])</f>
        <v>0</v>
      </c>
      <c r="H8" s="178">
        <f ca="1">IFERROR(funds[[#This Row],[fund cert]]/funds[[#This Row],[total]], 0)</f>
        <v>0</v>
      </c>
      <c r="I8" s="68">
        <f ca="1">funds[[#This Row],[cash]]+funds[[#This Row],[saving]]+funds[[#This Row],[fund cert]]</f>
        <v>7419.1307515205481</v>
      </c>
      <c r="J8" s="68">
        <v>13000</v>
      </c>
      <c r="K8" s="178">
        <f ca="1">IF(funds[[#This Row],[target]]=0, 1, funds[[#This Row],[total]]/funds[[#This Row],[target]])</f>
        <v>0.5707023655015806</v>
      </c>
    </row>
    <row r="9" spans="1:12" s="69" customFormat="1" ht="15" customHeight="1">
      <c r="A9" s="67"/>
      <c r="B9" s="86" t="s">
        <v>99</v>
      </c>
      <c r="C9" s="68">
        <f>VLOOKUP(funds[[#This Row],[fund]], funds_cash[], 2,FALSE )</f>
        <v>0</v>
      </c>
      <c r="D9" s="178">
        <f ca="1">IFERROR(funds[[#This Row],[cash]]/funds[[#This Row],[total]], 0)</f>
        <v>0</v>
      </c>
      <c r="E9" s="68">
        <f ca="1">SUMIFS(savings[balance], savings[fund], "="&amp;funds[[#This Row],[fund]])</f>
        <v>6590.7230446487511</v>
      </c>
      <c r="F9" s="178">
        <f ca="1">IFERROR(funds[[#This Row],[saving]]/funds[[#This Row],[total]], 0)</f>
        <v>1</v>
      </c>
      <c r="G9" s="68">
        <f>SUMIFS(fund_certs[balance], fund_certs[fund], "="&amp;funds[[#This Row],[fund]])</f>
        <v>0</v>
      </c>
      <c r="H9" s="178">
        <f ca="1">IFERROR(funds[[#This Row],[fund cert]]/funds[[#This Row],[total]], 0)</f>
        <v>0</v>
      </c>
      <c r="I9" s="68">
        <f ca="1">funds[[#This Row],[cash]]+funds[[#This Row],[saving]]+funds[[#This Row],[fund cert]]</f>
        <v>6590.7230446487511</v>
      </c>
      <c r="J9" s="68">
        <v>11000</v>
      </c>
      <c r="K9" s="178">
        <f ca="1">IF(funds[[#This Row],[target]]=0, 1, funds[[#This Row],[total]]/funds[[#This Row],[target]])</f>
        <v>0.59915664042261374</v>
      </c>
    </row>
    <row r="10" spans="1:12" s="69" customFormat="1" ht="15" customHeight="1">
      <c r="A10" s="67"/>
      <c r="B10" s="86" t="s">
        <v>111</v>
      </c>
      <c r="C10" s="68">
        <f>VLOOKUP(funds[[#This Row],[fund]], funds_cash[], 2,FALSE )</f>
        <v>50</v>
      </c>
      <c r="D10" s="178">
        <f>IFERROR(funds[[#This Row],[cash]]/funds[[#This Row],[total]], 0)</f>
        <v>7.6147740628002602E-3</v>
      </c>
      <c r="E10" s="68">
        <f>SUMIFS(savings[balance], savings[fund], "="&amp;funds[[#This Row],[fund]])</f>
        <v>0</v>
      </c>
      <c r="F10" s="178">
        <f>IFERROR(funds[[#This Row],[saving]]/funds[[#This Row],[total]], 0)</f>
        <v>0</v>
      </c>
      <c r="G10" s="68">
        <f>SUMIFS(fund_certs[balance], fund_certs[fund], "="&amp;funds[[#This Row],[fund]])</f>
        <v>6516.183</v>
      </c>
      <c r="H10" s="178">
        <f>IFERROR(funds[[#This Row],[fund cert]]/funds[[#This Row],[total]], 0)</f>
        <v>0.99238522593719969</v>
      </c>
      <c r="I10" s="68">
        <f>funds[[#This Row],[cash]]+funds[[#This Row],[saving]]+funds[[#This Row],[fund cert]]</f>
        <v>6566.183</v>
      </c>
      <c r="J10" s="68">
        <v>50000</v>
      </c>
      <c r="K10" s="178">
        <f>IF(funds[[#This Row],[target]]=0, 1, funds[[#This Row],[total]]/funds[[#This Row],[target]])</f>
        <v>0.13132366000000001</v>
      </c>
    </row>
    <row r="11" spans="1:12" s="69" customFormat="1" ht="15" customHeight="1">
      <c r="A11" s="67"/>
      <c r="B11" s="118" t="s">
        <v>1</v>
      </c>
      <c r="C11" s="71"/>
      <c r="D11" s="71"/>
      <c r="E11" s="71"/>
      <c r="F11" s="71"/>
      <c r="G11" s="71"/>
      <c r="H11" s="71"/>
      <c r="I11" s="72">
        <f ca="1">SUBTOTAL(109,funds[total])</f>
        <v>40512.556817933677</v>
      </c>
      <c r="J11" s="118"/>
      <c r="K11" s="71"/>
    </row>
    <row r="12" spans="1:12" s="69" customFormat="1" ht="15" customHeight="1">
      <c r="A12" s="67"/>
      <c r="B12" s="174"/>
      <c r="C12" s="175"/>
      <c r="D12" s="175"/>
      <c r="E12" s="175"/>
      <c r="F12" s="176"/>
      <c r="G12" s="174"/>
      <c r="H12" s="175"/>
      <c r="J12" s="174"/>
      <c r="K12" s="176"/>
      <c r="L12" s="177"/>
    </row>
    <row r="13" spans="1:12" s="69" customFormat="1" ht="15" customHeight="1">
      <c r="A13" s="67"/>
      <c r="B13" s="13" t="s">
        <v>101</v>
      </c>
      <c r="C13" s="2"/>
      <c r="D13" s="2"/>
      <c r="E13" s="175"/>
      <c r="F13" s="176"/>
      <c r="G13" s="174"/>
      <c r="H13" s="175"/>
      <c r="J13" s="174"/>
      <c r="K13" s="176"/>
      <c r="L13" s="177"/>
    </row>
    <row r="14" spans="1:12" s="69" customFormat="1" ht="15" customHeight="1">
      <c r="A14" s="67"/>
      <c r="B14" s="117" t="s">
        <v>94</v>
      </c>
      <c r="C14" s="65" t="s">
        <v>29</v>
      </c>
      <c r="D14" s="66" t="s">
        <v>69</v>
      </c>
      <c r="E14" s="175"/>
      <c r="F14" s="176"/>
      <c r="G14" s="174"/>
      <c r="H14" s="175"/>
      <c r="J14" s="174"/>
      <c r="K14" s="176"/>
      <c r="L14" s="177"/>
    </row>
    <row r="15" spans="1:12" s="69" customFormat="1" ht="15" customHeight="1">
      <c r="A15" s="67"/>
      <c r="B15" s="89" t="s">
        <v>99</v>
      </c>
      <c r="C15" s="68">
        <v>0</v>
      </c>
      <c r="D15" s="70">
        <f>funds_cash[[#This Row],[amount]] / funds_cash[[#Totals],[amount]]</f>
        <v>0</v>
      </c>
      <c r="E15" s="175"/>
      <c r="F15" s="176"/>
      <c r="G15" s="174"/>
      <c r="H15" s="175"/>
      <c r="J15" s="174"/>
      <c r="K15" s="176"/>
      <c r="L15" s="177"/>
    </row>
    <row r="16" spans="1:12" s="69" customFormat="1" ht="15" customHeight="1">
      <c r="A16" s="67"/>
      <c r="B16" s="86" t="s">
        <v>109</v>
      </c>
      <c r="C16" s="68">
        <v>10458.157999999999</v>
      </c>
      <c r="D16" s="70">
        <f>funds_cash[[#This Row],[amount]] / funds_cash[[#Totals],[amount]]</f>
        <v>0.7049737988022502</v>
      </c>
      <c r="E16" s="175"/>
      <c r="F16" s="176"/>
      <c r="G16" s="174"/>
      <c r="H16" s="175"/>
      <c r="J16" s="174"/>
      <c r="K16" s="176"/>
      <c r="L16" s="177"/>
    </row>
    <row r="17" spans="1:12" s="69" customFormat="1" ht="15" customHeight="1">
      <c r="A17" s="67"/>
      <c r="B17" s="89" t="s">
        <v>110</v>
      </c>
      <c r="C17" s="68">
        <f>7000-2673.34</f>
        <v>4326.66</v>
      </c>
      <c r="D17" s="70">
        <f>funds_cash[[#This Row],[amount]] / funds_cash[[#Totals],[amount]]</f>
        <v>0.29165575202877447</v>
      </c>
      <c r="E17" s="175"/>
      <c r="F17" s="176"/>
      <c r="G17" s="174"/>
      <c r="H17" s="175"/>
      <c r="J17" s="174"/>
      <c r="K17" s="176"/>
      <c r="L17" s="177"/>
    </row>
    <row r="18" spans="1:12" s="69" customFormat="1" ht="15" customHeight="1">
      <c r="A18" s="67"/>
      <c r="B18" s="89" t="s">
        <v>111</v>
      </c>
      <c r="C18" s="68">
        <v>50</v>
      </c>
      <c r="D18" s="70">
        <f>funds_cash[[#This Row],[amount]] / funds_cash[[#Totals],[amount]]</f>
        <v>3.3704491689753122E-3</v>
      </c>
      <c r="E18" s="175"/>
      <c r="F18" s="176"/>
      <c r="G18" s="174"/>
      <c r="H18" s="175"/>
      <c r="J18" s="174"/>
      <c r="K18" s="176"/>
      <c r="L18" s="177"/>
    </row>
    <row r="19" spans="1:12" s="69" customFormat="1" ht="15" customHeight="1">
      <c r="A19" s="67"/>
      <c r="B19" s="118" t="s">
        <v>1</v>
      </c>
      <c r="C19" s="72">
        <f>SUM(funds_cash[amount])</f>
        <v>14834.817999999999</v>
      </c>
      <c r="D19" s="73">
        <f>SUBTOTAL(109,funds_cash[rate])</f>
        <v>1</v>
      </c>
      <c r="E19" s="175"/>
      <c r="F19" s="176"/>
      <c r="G19" s="174"/>
      <c r="H19" s="175"/>
      <c r="J19" s="174"/>
      <c r="K19" s="176"/>
      <c r="L19" s="177"/>
    </row>
    <row r="20" spans="1:12" s="69" customFormat="1" ht="15" customHeight="1">
      <c r="A20" s="67"/>
      <c r="B20" s="174"/>
      <c r="C20" s="176"/>
      <c r="D20" s="177"/>
      <c r="E20" s="175"/>
      <c r="F20" s="176"/>
      <c r="G20" s="174"/>
      <c r="H20" s="175"/>
      <c r="J20" s="174"/>
      <c r="K20" s="176"/>
      <c r="L20" s="177"/>
    </row>
    <row r="21" spans="1:12" s="69" customFormat="1" ht="15" customHeight="1">
      <c r="A21" s="67"/>
      <c r="B21" s="174"/>
      <c r="C21" s="175"/>
      <c r="D21" s="175"/>
      <c r="E21" s="175"/>
      <c r="F21" s="176"/>
      <c r="G21" s="174"/>
      <c r="H21" s="175"/>
      <c r="J21" s="174"/>
      <c r="K21" s="176"/>
      <c r="L21" s="177"/>
    </row>
    <row r="22" spans="1:12" s="69" customFormat="1" ht="15" customHeight="1">
      <c r="A22" s="67"/>
      <c r="B22" s="174"/>
      <c r="C22" s="175"/>
      <c r="D22" s="175"/>
      <c r="E22" s="175"/>
      <c r="F22" s="176"/>
      <c r="G22" s="174"/>
      <c r="H22" s="175"/>
      <c r="J22" s="174"/>
      <c r="K22" s="176"/>
      <c r="L22" s="177"/>
    </row>
    <row r="23" spans="1:12" s="69" customFormat="1" ht="15" customHeight="1">
      <c r="A23" s="67"/>
      <c r="B23" s="174"/>
      <c r="C23" s="175"/>
      <c r="D23" s="175"/>
      <c r="E23" s="175"/>
      <c r="F23" s="176"/>
      <c r="G23" s="174"/>
      <c r="H23" s="175"/>
      <c r="J23" s="174"/>
      <c r="K23" s="176"/>
      <c r="L23" s="177"/>
    </row>
    <row r="24" spans="1:12" s="69" customFormat="1" ht="15" customHeight="1">
      <c r="A24" s="67"/>
      <c r="B24" s="174"/>
      <c r="C24" s="175"/>
      <c r="D24" s="175"/>
      <c r="E24" s="175"/>
      <c r="F24" s="176"/>
      <c r="G24" s="174"/>
      <c r="H24" s="175"/>
      <c r="J24" s="174"/>
      <c r="K24" s="176"/>
      <c r="L24" s="177"/>
    </row>
    <row r="25" spans="1:12" s="69" customFormat="1" ht="15" customHeight="1">
      <c r="A25" s="67"/>
      <c r="B25" s="174"/>
      <c r="C25" s="175"/>
      <c r="D25" s="175"/>
      <c r="E25" s="175"/>
      <c r="F25" s="176"/>
      <c r="G25" s="174"/>
      <c r="H25" s="175"/>
      <c r="J25" s="174"/>
      <c r="K25" s="176"/>
      <c r="L25" s="177"/>
    </row>
    <row r="26" spans="1:12" s="69" customFormat="1" ht="15" customHeight="1">
      <c r="A26" s="67"/>
      <c r="B26" s="174"/>
      <c r="C26" s="175"/>
      <c r="D26" s="175"/>
      <c r="E26" s="175"/>
      <c r="F26" s="176"/>
      <c r="G26" s="174"/>
      <c r="H26" s="175"/>
      <c r="J26" s="174"/>
      <c r="K26" s="176"/>
      <c r="L26" s="177"/>
    </row>
    <row r="27" spans="1:12" s="69" customFormat="1" ht="15" customHeight="1">
      <c r="A27" s="67"/>
      <c r="B27" s="174"/>
      <c r="C27" s="175"/>
      <c r="D27" s="175"/>
      <c r="E27" s="175"/>
      <c r="F27" s="176"/>
      <c r="G27" s="174"/>
      <c r="H27" s="175"/>
      <c r="J27" s="174"/>
      <c r="K27" s="176"/>
      <c r="L27" s="177"/>
    </row>
    <row r="28" spans="1:12" s="69" customFormat="1" ht="15" customHeight="1">
      <c r="A28" s="67"/>
      <c r="B28" s="174"/>
      <c r="C28" s="175"/>
      <c r="D28" s="175"/>
      <c r="E28" s="175"/>
      <c r="F28" s="176"/>
      <c r="G28" s="174"/>
      <c r="H28" s="175"/>
      <c r="J28" s="174"/>
      <c r="K28" s="176"/>
      <c r="L28" s="177"/>
    </row>
    <row r="29" spans="1:12" s="69" customFormat="1" ht="15" customHeight="1">
      <c r="A29" s="67"/>
      <c r="B29" s="174"/>
      <c r="C29" s="175"/>
      <c r="D29" s="175"/>
      <c r="E29" s="175"/>
      <c r="F29" s="176"/>
      <c r="G29" s="174"/>
      <c r="H29" s="175"/>
      <c r="J29" s="174"/>
      <c r="K29" s="176"/>
      <c r="L29" s="177"/>
    </row>
    <row r="30" spans="1:12" s="69" customFormat="1" ht="15" customHeight="1">
      <c r="A30" s="67"/>
      <c r="B30" s="174"/>
      <c r="C30" s="175"/>
      <c r="D30" s="175"/>
      <c r="E30" s="175"/>
      <c r="F30" s="176"/>
      <c r="G30" s="174"/>
      <c r="H30" s="175"/>
      <c r="J30" s="174"/>
      <c r="K30" s="176"/>
      <c r="L30" s="177"/>
    </row>
    <row r="31" spans="1:12" s="69" customFormat="1" ht="15" customHeight="1">
      <c r="A31" s="67"/>
      <c r="B31" s="174"/>
      <c r="C31" s="175"/>
      <c r="D31" s="175"/>
      <c r="E31" s="175"/>
      <c r="F31" s="176"/>
      <c r="G31" s="174"/>
      <c r="H31" s="175"/>
      <c r="J31" s="174"/>
      <c r="K31" s="176"/>
      <c r="L31" s="177"/>
    </row>
    <row r="32" spans="1:12" s="69" customFormat="1" ht="15" customHeight="1">
      <c r="A32" s="67"/>
      <c r="B32" s="174"/>
      <c r="C32" s="175"/>
      <c r="D32" s="175"/>
      <c r="E32" s="175"/>
      <c r="F32" s="176"/>
      <c r="G32" s="174"/>
      <c r="H32" s="175"/>
      <c r="J32" s="174"/>
      <c r="K32" s="176"/>
      <c r="L32" s="177"/>
    </row>
    <row r="33" spans="1:12" s="69" customFormat="1" ht="15" customHeight="1">
      <c r="A33" s="67"/>
      <c r="B33" s="174"/>
      <c r="C33" s="175"/>
      <c r="D33" s="175"/>
      <c r="E33" s="175"/>
      <c r="F33" s="176"/>
      <c r="G33" s="174"/>
      <c r="H33" s="175"/>
      <c r="J33" s="174"/>
      <c r="K33" s="176"/>
      <c r="L33" s="177"/>
    </row>
    <row r="34" spans="1:12" s="69" customFormat="1" ht="15" customHeight="1">
      <c r="A34" s="67"/>
      <c r="B34" s="174"/>
      <c r="C34" s="175"/>
      <c r="D34" s="175"/>
      <c r="E34" s="175"/>
      <c r="F34" s="176"/>
      <c r="G34" s="174"/>
      <c r="H34" s="175"/>
      <c r="J34" s="174"/>
      <c r="K34" s="176"/>
      <c r="L34" s="177"/>
    </row>
    <row r="35" spans="1:12" s="69" customFormat="1" ht="15" customHeight="1">
      <c r="A35" s="67"/>
      <c r="B35" s="174"/>
      <c r="C35" s="175"/>
      <c r="D35" s="175"/>
      <c r="E35" s="175"/>
      <c r="F35" s="176"/>
      <c r="G35" s="174"/>
      <c r="H35" s="175"/>
      <c r="J35" s="174"/>
      <c r="K35" s="176"/>
      <c r="L35" s="177"/>
    </row>
    <row r="36" spans="1:12" s="69" customFormat="1" ht="15" customHeight="1">
      <c r="A36" s="67"/>
      <c r="B36" s="174"/>
      <c r="C36" s="175"/>
      <c r="D36" s="175"/>
      <c r="E36" s="175"/>
      <c r="F36" s="176"/>
      <c r="G36" s="174"/>
      <c r="H36" s="175"/>
      <c r="J36" s="174"/>
      <c r="K36" s="176"/>
      <c r="L36" s="177"/>
    </row>
    <row r="37" spans="1:12" s="69" customFormat="1" ht="15" customHeight="1">
      <c r="A37" s="67"/>
      <c r="B37" s="174"/>
      <c r="C37" s="175"/>
      <c r="D37" s="175"/>
      <c r="E37" s="175"/>
      <c r="F37" s="176"/>
      <c r="G37" s="174"/>
      <c r="H37" s="175"/>
      <c r="J37" s="174"/>
      <c r="K37" s="176"/>
      <c r="L37" s="177"/>
    </row>
    <row r="38" spans="1:12" s="69" customFormat="1" ht="15" customHeight="1">
      <c r="A38" s="67"/>
      <c r="B38" s="174"/>
      <c r="C38" s="175"/>
      <c r="D38" s="175"/>
      <c r="E38" s="175"/>
      <c r="F38" s="176"/>
      <c r="G38" s="174"/>
      <c r="H38" s="175"/>
      <c r="J38" s="174"/>
      <c r="K38" s="176"/>
      <c r="L38" s="177"/>
    </row>
    <row r="39" spans="1:12" s="69" customFormat="1" ht="15" customHeight="1">
      <c r="A39" s="67"/>
      <c r="B39" s="174"/>
      <c r="C39" s="175"/>
      <c r="D39" s="175"/>
      <c r="E39" s="175"/>
      <c r="F39" s="176"/>
      <c r="G39" s="174"/>
      <c r="H39" s="175"/>
      <c r="J39" s="174"/>
      <c r="K39" s="176"/>
      <c r="L39" s="177"/>
    </row>
    <row r="40" spans="1:12" s="69" customFormat="1" ht="15" customHeight="1">
      <c r="A40" s="67"/>
      <c r="B40" s="174"/>
      <c r="C40" s="175"/>
      <c r="D40" s="175"/>
      <c r="E40" s="175"/>
      <c r="F40" s="176"/>
      <c r="G40" s="174"/>
      <c r="H40" s="175"/>
      <c r="J40" s="174"/>
      <c r="K40" s="176"/>
      <c r="L40" s="177"/>
    </row>
    <row r="41" spans="1:12" ht="19.5">
      <c r="B41" s="13" t="s">
        <v>103</v>
      </c>
      <c r="C41" s="3"/>
      <c r="D41" s="3"/>
      <c r="E41" s="3"/>
      <c r="F41" s="3"/>
      <c r="G41" s="3"/>
      <c r="H41" s="3"/>
      <c r="I41" s="3"/>
      <c r="J41" s="3"/>
      <c r="K41" s="3"/>
    </row>
    <row r="42" spans="1:12" ht="17.25">
      <c r="B42" s="119" t="s">
        <v>94</v>
      </c>
      <c r="C42" s="119" t="s">
        <v>105</v>
      </c>
      <c r="D42" s="119" t="s">
        <v>104</v>
      </c>
      <c r="E42" s="119" t="s">
        <v>106</v>
      </c>
      <c r="F42" s="119" t="s">
        <v>69</v>
      </c>
      <c r="G42" s="119" t="s">
        <v>107</v>
      </c>
      <c r="H42" s="119" t="s">
        <v>100</v>
      </c>
      <c r="I42" s="119" t="s">
        <v>68</v>
      </c>
    </row>
    <row r="43" spans="1:12" ht="15.75">
      <c r="B43" s="86" t="s">
        <v>109</v>
      </c>
      <c r="C43" s="19">
        <f xml:space="preserve"> 1800 + 3600 + 1300 + 4000 - 1700 - 1800</f>
        <v>7200</v>
      </c>
      <c r="D43" s="19">
        <v>7551.1030000000001</v>
      </c>
      <c r="E43" s="12" t="s">
        <v>108</v>
      </c>
      <c r="F43" s="18">
        <v>4.8000000000000001E-2</v>
      </c>
      <c r="G43" s="20">
        <f>DATE(2025, 7, 23)</f>
        <v>45861</v>
      </c>
      <c r="H43" s="164">
        <f ca="1">IF(savings[[#This Row],[term]]="unlimited", 1, (TODAY() - savings[[#This Row],[start]]) / (VLOOKUP(savings[[#This Row],[term]], term[], 2,FALSE)))</f>
        <v>1</v>
      </c>
      <c r="I43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7552.0960217643833</v>
      </c>
    </row>
    <row r="44" spans="1:12" ht="15.75">
      <c r="B44" s="89" t="s">
        <v>110</v>
      </c>
      <c r="C44" s="19">
        <v>2000</v>
      </c>
      <c r="D44" s="19">
        <v>2000</v>
      </c>
      <c r="E44" s="12" t="s">
        <v>108</v>
      </c>
      <c r="F44" s="18">
        <v>0.05</v>
      </c>
      <c r="G44" s="20">
        <f>DATE(2025, 1, 31)</f>
        <v>45688</v>
      </c>
      <c r="H44" s="164">
        <f ca="1">IF(savings[[#This Row],[term]]="unlimited", 1, (TODAY() - savings[[#This Row],[start]]) / (VLOOKUP(savings[[#This Row],[term]], term[], 2,FALSE)))</f>
        <v>1</v>
      </c>
      <c r="I44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2000.2739726027398</v>
      </c>
    </row>
    <row r="45" spans="1:12" ht="15.75">
      <c r="B45" s="19" t="s">
        <v>22</v>
      </c>
      <c r="C45" s="19">
        <v>469.32600000000002</v>
      </c>
      <c r="D45" s="19">
        <v>469.32600000000002</v>
      </c>
      <c r="E45" s="12" t="s">
        <v>108</v>
      </c>
      <c r="F45" s="18">
        <v>0.05</v>
      </c>
      <c r="G45" s="20">
        <f>DATE(2025, 12, 25)</f>
        <v>46016</v>
      </c>
      <c r="H45" s="164">
        <f ca="1">IF(savings[[#This Row],[term]]="unlimited", 1, (TODAY() - savings[[#This Row],[start]]) / (VLOOKUP(savings[[#This Row],[term]], term[], 2,FALSE)))</f>
        <v>1</v>
      </c>
      <c r="I45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469.39029123287673</v>
      </c>
    </row>
    <row r="46" spans="1:12" ht="15.75">
      <c r="B46" s="86" t="s">
        <v>99</v>
      </c>
      <c r="C46" s="19">
        <v>20</v>
      </c>
      <c r="D46" s="19">
        <f>115.555174350896-90</f>
        <v>25.555174350895996</v>
      </c>
      <c r="E46" s="12" t="s">
        <v>108</v>
      </c>
      <c r="F46" s="18">
        <v>0.05</v>
      </c>
      <c r="G46" s="20">
        <f>DATE(2024, 12, 31)</f>
        <v>45657</v>
      </c>
      <c r="H46" s="164">
        <f ca="1">IF(savings[[#This Row],[term]]="unlimited", 1, (TODAY() - savings[[#This Row],[start]]) / (VLOOKUP(savings[[#This Row],[term]], term[], 2,FALSE)))</f>
        <v>1</v>
      </c>
      <c r="I46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25.558675059711188</v>
      </c>
    </row>
    <row r="47" spans="1:12" ht="15.75">
      <c r="B47" s="86" t="s">
        <v>99</v>
      </c>
      <c r="C47" s="19">
        <v>200</v>
      </c>
      <c r="D47" s="19">
        <v>213.3</v>
      </c>
      <c r="E47" s="12" t="s">
        <v>3</v>
      </c>
      <c r="F47" s="18">
        <v>8.5999999999999993E-2</v>
      </c>
      <c r="G47" s="20">
        <f>DATE(2026, 5, 31)</f>
        <v>46173</v>
      </c>
      <c r="H47" s="164">
        <f ca="1">IF(savings[[#This Row],[term]]="unlimited", 1, (TODAY() - savings[[#This Row],[start]]) / (VLOOKUP(savings[[#This Row],[term]], term[], 2,FALSE)))</f>
        <v>0.22500000000000001</v>
      </c>
      <c r="I47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217.37081589041097</v>
      </c>
    </row>
    <row r="48" spans="1:12" ht="15.75">
      <c r="B48" s="86" t="s">
        <v>99</v>
      </c>
      <c r="C48" s="19">
        <v>500</v>
      </c>
      <c r="D48" s="19">
        <v>500</v>
      </c>
      <c r="E48" s="12" t="s">
        <v>3</v>
      </c>
      <c r="F48" s="18">
        <v>7.0000000000000007E-2</v>
      </c>
      <c r="G48" s="20">
        <f>DATE(2025, 8, 31)</f>
        <v>45900</v>
      </c>
      <c r="H48" s="164">
        <f ca="1">IF(savings[[#This Row],[term]]="unlimited", 1, (TODAY() - savings[[#This Row],[start]]) / (VLOOKUP(savings[[#This Row],[term]], term[], 2,FALSE)))</f>
        <v>0.98333333333333328</v>
      </c>
      <c r="I48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533.94520547945206</v>
      </c>
    </row>
    <row r="49" spans="2:11" ht="15.75">
      <c r="B49" s="89" t="s">
        <v>110</v>
      </c>
      <c r="C49" s="19">
        <v>1000</v>
      </c>
      <c r="D49" s="19">
        <v>1087.605</v>
      </c>
      <c r="E49" s="12" t="s">
        <v>2</v>
      </c>
      <c r="F49" s="18">
        <v>6.7000000000000004E-2</v>
      </c>
      <c r="G49" s="20">
        <f>DATE(2026, 7, 28)</f>
        <v>46231</v>
      </c>
      <c r="H49" s="164">
        <f ca="1">IF(savings[[#This Row],[term]]="unlimited", 1, (TODAY() - savings[[#This Row],[start]]) / (VLOOKUP(savings[[#This Row],[term]], term[], 2,FALSE)))</f>
        <v>0.76666666666666672</v>
      </c>
      <c r="I49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1092.1967789178082</v>
      </c>
    </row>
    <row r="50" spans="2:11" ht="15.75">
      <c r="B50" s="86" t="s">
        <v>99</v>
      </c>
      <c r="C50" s="19">
        <v>500</v>
      </c>
      <c r="D50" s="19">
        <v>500</v>
      </c>
      <c r="E50" s="12" t="s">
        <v>3</v>
      </c>
      <c r="F50" s="18">
        <v>7.0000000000000007E-2</v>
      </c>
      <c r="G50" s="20">
        <f>DATE(2025, 9, 30)</f>
        <v>45930</v>
      </c>
      <c r="H50" s="164">
        <f ca="1">IF(savings[[#This Row],[term]]="unlimited", 1, (TODAY() - savings[[#This Row],[start]]) / (VLOOKUP(savings[[#This Row],[term]], term[], 2,FALSE)))</f>
        <v>0.9</v>
      </c>
      <c r="I50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531.06849315068496</v>
      </c>
    </row>
    <row r="51" spans="2:11" ht="15.75">
      <c r="B51" s="86" t="s">
        <v>99</v>
      </c>
      <c r="C51" s="19">
        <v>3600</v>
      </c>
      <c r="D51" s="19">
        <v>4082.7089999999998</v>
      </c>
      <c r="E51" s="12" t="s">
        <v>3</v>
      </c>
      <c r="F51" s="18">
        <v>7.4999999999999997E-2</v>
      </c>
      <c r="G51" s="20">
        <f>DATE(2025, 11, 1)</f>
        <v>45962</v>
      </c>
      <c r="H51" s="164">
        <f ca="1">IF(savings[[#This Row],[term]]="unlimited", 1, (TODAY() - savings[[#This Row],[start]]) / (VLOOKUP(savings[[#This Row],[term]], term[], 2,FALSE)))</f>
        <v>0.81111111111111112</v>
      </c>
      <c r="I51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4327.6715399999994</v>
      </c>
    </row>
    <row r="52" spans="2:11" ht="15.75">
      <c r="B52" s="86" t="s">
        <v>99</v>
      </c>
      <c r="C52" s="19">
        <v>100</v>
      </c>
      <c r="D52" s="19">
        <v>100</v>
      </c>
      <c r="E52" s="12" t="s">
        <v>3</v>
      </c>
      <c r="F52" s="18">
        <v>7.4999999999999997E-2</v>
      </c>
      <c r="G52" s="20">
        <f>DATE(2025, 11, 3)</f>
        <v>45964</v>
      </c>
      <c r="H52" s="164">
        <f ca="1">IF(savings[[#This Row],[term]]="unlimited", 1, (TODAY() - savings[[#This Row],[start]]) / (VLOOKUP(savings[[#This Row],[term]], term[], 2,FALSE)))</f>
        <v>0.80555555555555558</v>
      </c>
      <c r="I52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105.95890410958904</v>
      </c>
    </row>
    <row r="53" spans="2:11" ht="15.75">
      <c r="B53" s="86" t="s">
        <v>99</v>
      </c>
      <c r="C53" s="19">
        <v>500</v>
      </c>
      <c r="D53" s="19">
        <v>500</v>
      </c>
      <c r="E53" s="12" t="s">
        <v>3</v>
      </c>
      <c r="F53" s="18">
        <v>7.8E-2</v>
      </c>
      <c r="G53" s="20">
        <f>DATE(2025, 12, 25)</f>
        <v>46016</v>
      </c>
      <c r="H53" s="164">
        <f ca="1">IF(savings[[#This Row],[term]]="unlimited", 1, (TODAY() - savings[[#This Row],[start]]) / (VLOOKUP(savings[[#This Row],[term]], term[], 2,FALSE)))</f>
        <v>0.66111111111111109</v>
      </c>
      <c r="I53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525.43013698630136</v>
      </c>
    </row>
    <row r="54" spans="2:11" ht="15.75">
      <c r="B54" s="86" t="s">
        <v>99</v>
      </c>
      <c r="C54" s="19">
        <v>300</v>
      </c>
      <c r="D54" s="19">
        <v>319.95</v>
      </c>
      <c r="E54" s="12" t="s">
        <v>3</v>
      </c>
      <c r="F54" s="18">
        <v>8.5999999999999993E-2</v>
      </c>
      <c r="G54" s="20">
        <f>DATE(2026, 7, 1)</f>
        <v>46204</v>
      </c>
      <c r="H54" s="164">
        <f ca="1">IF(savings[[#This Row],[term]]="unlimited", 1, (TODAY() - savings[[#This Row],[start]]) / (VLOOKUP(savings[[#This Row],[term]], term[], 2,FALSE)))</f>
        <v>0.1388888888888889</v>
      </c>
      <c r="I54" s="19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323.71927397260271</v>
      </c>
    </row>
    <row r="55" spans="2:11" ht="17.25">
      <c r="B55" s="23" t="s">
        <v>1</v>
      </c>
      <c r="C55" s="24">
        <f>SUBTOTAL(109,savings[principal])</f>
        <v>16389.326000000001</v>
      </c>
      <c r="D55" s="24">
        <f>SUBTOTAL(109,savings[capital])</f>
        <v>17349.548174350897</v>
      </c>
      <c r="E55" s="23"/>
      <c r="F55" s="28"/>
      <c r="G55" s="23"/>
      <c r="H55" s="23"/>
      <c r="I55" s="24">
        <f ca="1">SUBTOTAL(109,savings[balance])</f>
        <v>17704.680109166562</v>
      </c>
      <c r="J55" s="34"/>
    </row>
    <row r="56" spans="2:11" ht="17.25">
      <c r="B56" s="23"/>
      <c r="C56" s="24"/>
      <c r="D56" s="24"/>
      <c r="E56" s="23"/>
      <c r="F56" s="28"/>
      <c r="G56" s="23"/>
      <c r="H56" s="23"/>
      <c r="I56" s="23"/>
      <c r="J56" s="4"/>
    </row>
    <row r="57" spans="2:11" ht="17.25">
      <c r="B57" s="13" t="s">
        <v>97</v>
      </c>
      <c r="C57" s="4"/>
      <c r="D57" s="4"/>
      <c r="E57" s="4"/>
      <c r="F57" s="6"/>
      <c r="G57" s="4"/>
      <c r="H57" s="4"/>
      <c r="I57" s="26"/>
      <c r="J57" s="24"/>
      <c r="K57" s="4"/>
    </row>
    <row r="58" spans="2:11" ht="17.25">
      <c r="B58" s="62" t="s">
        <v>94</v>
      </c>
      <c r="C58" s="62" t="s">
        <v>112</v>
      </c>
      <c r="D58" s="62" t="s">
        <v>31</v>
      </c>
      <c r="E58" s="62" t="s">
        <v>105</v>
      </c>
      <c r="F58" s="62" t="s">
        <v>107</v>
      </c>
      <c r="G58" s="61" t="s">
        <v>69</v>
      </c>
      <c r="H58" s="62" t="s">
        <v>113</v>
      </c>
      <c r="I58" s="62" t="s">
        <v>68</v>
      </c>
      <c r="J58" s="27"/>
    </row>
    <row r="59" spans="2:11" ht="18">
      <c r="B59" s="86" t="s">
        <v>111</v>
      </c>
      <c r="C59" s="5" t="s">
        <v>4</v>
      </c>
      <c r="D59" s="5" t="s">
        <v>124</v>
      </c>
      <c r="E59" s="14">
        <v>300</v>
      </c>
      <c r="F59" s="15">
        <f>DATE(2022, 12, 29)</f>
        <v>44924</v>
      </c>
      <c r="G59" s="17">
        <f ca="1" xml:space="preserve"> RATE((TODAY() - fund_certs[[#This Row],[start]]) / 365.25, 0, 0 - fund_certs[[#This Row],[principal]], fund_certs[[#This Row],[balance]], 0)</f>
        <v>0.18481050016641873</v>
      </c>
      <c r="H59" s="14">
        <f>fund_certs[[#This Row],[balance]]-fund_certs[[#This Row],[principal]]</f>
        <v>256.29100000000005</v>
      </c>
      <c r="I59" s="14">
        <v>556.29100000000005</v>
      </c>
    </row>
    <row r="60" spans="2:11" ht="18">
      <c r="B60" s="86" t="s">
        <v>111</v>
      </c>
      <c r="C60" s="5" t="s">
        <v>5</v>
      </c>
      <c r="D60" s="5" t="s">
        <v>124</v>
      </c>
      <c r="E60" s="14">
        <v>100</v>
      </c>
      <c r="F60" s="15">
        <f>DATE(2022, 12, 30)</f>
        <v>44925</v>
      </c>
      <c r="G60" s="17">
        <f ca="1" xml:space="preserve"> RATE((TODAY() - fund_certs[[#This Row],[start]]) / 365.25, 0, 0 - fund_certs[[#This Row],[principal]], fund_certs[[#This Row],[balance]], 0)</f>
        <v>0.21011138496666831</v>
      </c>
      <c r="H60" s="14">
        <f>fund_certs[[#This Row],[balance]]-fund_certs[[#This Row],[principal]]</f>
        <v>100.15600000000001</v>
      </c>
      <c r="I60" s="14">
        <v>200.15600000000001</v>
      </c>
    </row>
    <row r="61" spans="2:11" ht="18">
      <c r="B61" s="86" t="s">
        <v>111</v>
      </c>
      <c r="C61" s="5" t="s">
        <v>6</v>
      </c>
      <c r="D61" s="5" t="s">
        <v>124</v>
      </c>
      <c r="E61" s="14">
        <v>100</v>
      </c>
      <c r="F61" s="15">
        <f>DATE(2023, 5, 30)</f>
        <v>45076</v>
      </c>
      <c r="G61" s="17">
        <f ca="1" xml:space="preserve"> RATE((TODAY() - fund_certs[[#This Row],[start]]) / 365.25, 0, 0 - fund_certs[[#This Row],[principal]], fund_certs[[#This Row],[balance]], 0)</f>
        <v>8.9053065800291709E-2</v>
      </c>
      <c r="H61" s="14">
        <f>fund_certs[[#This Row],[balance]]-fund_certs[[#This Row],[principal]]</f>
        <v>31.670999999999992</v>
      </c>
      <c r="I61" s="14">
        <v>131.67099999999999</v>
      </c>
    </row>
    <row r="62" spans="2:11" ht="18">
      <c r="B62" s="86" t="s">
        <v>111</v>
      </c>
      <c r="C62" s="5" t="s">
        <v>6</v>
      </c>
      <c r="D62" s="5" t="s">
        <v>124</v>
      </c>
      <c r="E62" s="14">
        <v>200</v>
      </c>
      <c r="F62" s="21">
        <f>DATE(2023, 6, 27)</f>
        <v>45104</v>
      </c>
      <c r="G62" s="17">
        <f ca="1" xml:space="preserve"> RATE((TODAY() - fund_certs[[#This Row],[start]]) / 365.25, 0, 0 - fund_certs[[#This Row],[principal]], fund_certs[[#This Row],[balance]], 0)</f>
        <v>7.5459804295609875E-2</v>
      </c>
      <c r="H62" s="14">
        <f>fund_certs[[#This Row],[balance]]-fund_certs[[#This Row],[principal]]</f>
        <v>51.480999999999995</v>
      </c>
      <c r="I62" s="14">
        <v>251.48099999999999</v>
      </c>
    </row>
    <row r="63" spans="2:11" ht="18">
      <c r="B63" s="86" t="s">
        <v>111</v>
      </c>
      <c r="C63" s="5" t="s">
        <v>5</v>
      </c>
      <c r="D63" s="5" t="s">
        <v>124</v>
      </c>
      <c r="E63" s="14">
        <v>200</v>
      </c>
      <c r="F63" s="21">
        <f>DATE(2023, 8, 1)</f>
        <v>45139</v>
      </c>
      <c r="G63" s="17">
        <f ca="1" xml:space="preserve"> RATE((TODAY() - fund_certs[[#This Row],[start]]) / 365.25, 0, 0 - fund_certs[[#This Row],[principal]], fund_certs[[#This Row],[balance]], 0)</f>
        <v>8.8661869794543519E-2</v>
      </c>
      <c r="H63" s="14">
        <f>fund_certs[[#This Row],[balance]]-fund_certs[[#This Row],[principal]]</f>
        <v>59.211000000000013</v>
      </c>
      <c r="I63" s="14">
        <v>259.21100000000001</v>
      </c>
    </row>
    <row r="64" spans="2:11" ht="18">
      <c r="B64" s="86" t="s">
        <v>111</v>
      </c>
      <c r="C64" s="5" t="s">
        <v>6</v>
      </c>
      <c r="D64" s="5" t="s">
        <v>124</v>
      </c>
      <c r="E64" s="14">
        <v>200</v>
      </c>
      <c r="F64" s="21">
        <f>DATE(2023, 9, 6)</f>
        <v>45175</v>
      </c>
      <c r="G64" s="17">
        <f ca="1" xml:space="preserve"> RATE((TODAY() - fund_certs[[#This Row],[start]]) / 365.25, 0, 0 - fund_certs[[#This Row],[principal]], fund_certs[[#This Row],[balance]], 0)</f>
        <v>3.4273095361547226E-2</v>
      </c>
      <c r="H64" s="14">
        <f>fund_certs[[#This Row],[balance]]-fund_certs[[#This Row],[principal]]</f>
        <v>20.935000000000002</v>
      </c>
      <c r="I64" s="14">
        <v>220.935</v>
      </c>
    </row>
    <row r="65" spans="2:9" ht="18">
      <c r="B65" s="86" t="s">
        <v>111</v>
      </c>
      <c r="C65" s="5" t="s">
        <v>5</v>
      </c>
      <c r="D65" s="5" t="s">
        <v>124</v>
      </c>
      <c r="E65" s="14">
        <v>200</v>
      </c>
      <c r="F65" s="21">
        <f>DATE(2023, 10, 3)</f>
        <v>45202</v>
      </c>
      <c r="G65" s="17">
        <f ca="1" xml:space="preserve"> RATE((TODAY() - fund_certs[[#This Row],[start]]) / 365.25, 0, 0 - fund_certs[[#This Row],[principal]], fund_certs[[#This Row],[balance]], 0)</f>
        <v>8.5435079760335986E-2</v>
      </c>
      <c r="H65" s="14">
        <f>fund_certs[[#This Row],[balance]]-fund_certs[[#This Row],[principal]]</f>
        <v>53.265999999999991</v>
      </c>
      <c r="I65" s="14">
        <v>253.26599999999999</v>
      </c>
    </row>
    <row r="66" spans="2:9" ht="18">
      <c r="B66" s="86" t="s">
        <v>111</v>
      </c>
      <c r="C66" s="5" t="s">
        <v>4</v>
      </c>
      <c r="D66" s="5" t="s">
        <v>124</v>
      </c>
      <c r="E66" s="14">
        <v>200</v>
      </c>
      <c r="F66" s="21">
        <f>DATE(2023, 10, 25)</f>
        <v>45224</v>
      </c>
      <c r="G66" s="17">
        <f ca="1" xml:space="preserve"> RATE((TODAY() - fund_certs[[#This Row],[start]]) / 365.25, 0, 0 - fund_certs[[#This Row],[principal]], fund_certs[[#This Row],[balance]], 0)</f>
        <v>0.14597580150432057</v>
      </c>
      <c r="H66" s="14">
        <f>fund_certs[[#This Row],[balance]]-fund_certs[[#This Row],[principal]]</f>
        <v>93.699999999999989</v>
      </c>
      <c r="I66" s="14">
        <v>293.7</v>
      </c>
    </row>
    <row r="67" spans="2:9" ht="18">
      <c r="B67" s="86" t="s">
        <v>111</v>
      </c>
      <c r="C67" s="5" t="s">
        <v>6</v>
      </c>
      <c r="D67" s="5" t="s">
        <v>124</v>
      </c>
      <c r="E67" s="14">
        <v>200</v>
      </c>
      <c r="F67" s="21">
        <f>DATE(2023, 12, 5)</f>
        <v>45265</v>
      </c>
      <c r="G67" s="17">
        <f ca="1" xml:space="preserve"> RATE((TODAY() - fund_certs[[#This Row],[start]]) / 365.25, 0, 0 - fund_certs[[#This Row],[principal]], fund_certs[[#This Row],[balance]], 0)</f>
        <v>5.3689293746948016E-2</v>
      </c>
      <c r="H67" s="14">
        <f>fund_certs[[#This Row],[balance]]-fund_certs[[#This Row],[principal]]</f>
        <v>30.425000000000011</v>
      </c>
      <c r="I67" s="14">
        <v>230.42500000000001</v>
      </c>
    </row>
    <row r="68" spans="2:9" ht="18">
      <c r="B68" s="86" t="s">
        <v>111</v>
      </c>
      <c r="C68" s="5" t="s">
        <v>5</v>
      </c>
      <c r="D68" s="5" t="s">
        <v>124</v>
      </c>
      <c r="E68" s="14">
        <v>200</v>
      </c>
      <c r="F68" s="21">
        <f>DATE(2024, 1, 3)</f>
        <v>45294</v>
      </c>
      <c r="G68" s="17">
        <f ca="1" xml:space="preserve"> RATE((TODAY() - fund_certs[[#This Row],[start]]) / 365.25, 0, 0 - fund_certs[[#This Row],[principal]], fund_certs[[#This Row],[balance]], 0)</f>
        <v>9.9187712255833407E-2</v>
      </c>
      <c r="H68" s="14">
        <f>fund_certs[[#This Row],[balance]]-fund_certs[[#This Row],[principal]]</f>
        <v>56.437000000000012</v>
      </c>
      <c r="I68" s="14">
        <v>256.43700000000001</v>
      </c>
    </row>
    <row r="69" spans="2:9" ht="18">
      <c r="B69" s="86" t="s">
        <v>111</v>
      </c>
      <c r="C69" s="5" t="s">
        <v>4</v>
      </c>
      <c r="D69" s="5" t="s">
        <v>124</v>
      </c>
      <c r="E69" s="14">
        <v>100</v>
      </c>
      <c r="F69" s="21">
        <f>DATE(2024, 2, 2)</f>
        <v>45324</v>
      </c>
      <c r="G69" s="17">
        <f ca="1" xml:space="preserve"> RATE((TODAY() - fund_certs[[#This Row],[start]]) / 365.25, 0, 0 - fund_certs[[#This Row],[principal]], fund_certs[[#This Row],[balance]], 0)</f>
        <v>0.12344574259350324</v>
      </c>
      <c r="H69" s="14">
        <f>fund_certs[[#This Row],[balance]]-fund_certs[[#This Row],[principal]]</f>
        <v>34.49799999999999</v>
      </c>
      <c r="I69" s="14">
        <v>134.49799999999999</v>
      </c>
    </row>
    <row r="70" spans="2:9" ht="18">
      <c r="B70" s="86" t="s">
        <v>111</v>
      </c>
      <c r="C70" s="5" t="s">
        <v>4</v>
      </c>
      <c r="D70" s="5" t="s">
        <v>124</v>
      </c>
      <c r="E70" s="14">
        <v>100</v>
      </c>
      <c r="F70" s="21">
        <f>DATE(2024, 3, 7)</f>
        <v>45358</v>
      </c>
      <c r="G70" s="17">
        <f ca="1" xml:space="preserve"> RATE((TODAY() - fund_certs[[#This Row],[start]]) / 365.25, 0, 0 - fund_certs[[#This Row],[principal]], fund_certs[[#This Row],[balance]], 0)</f>
        <v>9.6470823750678475E-2</v>
      </c>
      <c r="H70" s="14">
        <f>fund_certs[[#This Row],[balance]]-fund_certs[[#This Row],[principal]]</f>
        <v>25.347999999999999</v>
      </c>
      <c r="I70" s="14">
        <v>125.348</v>
      </c>
    </row>
    <row r="71" spans="2:9" ht="18">
      <c r="B71" s="86" t="s">
        <v>111</v>
      </c>
      <c r="C71" s="5" t="s">
        <v>6</v>
      </c>
      <c r="D71" s="5" t="s">
        <v>124</v>
      </c>
      <c r="E71" s="14">
        <v>100</v>
      </c>
      <c r="F71" s="21">
        <f>DATE(2024, 4, 2)</f>
        <v>45384</v>
      </c>
      <c r="G71" s="17">
        <f ca="1" xml:space="preserve"> RATE((TODAY() - fund_certs[[#This Row],[start]]) / 365.25, 0, 0 - fund_certs[[#This Row],[principal]], fund_certs[[#This Row],[balance]], 0)</f>
        <v>3.4720373953616383E-3</v>
      </c>
      <c r="H71" s="14">
        <f>fund_certs[[#This Row],[balance]]-fund_certs[[#This Row],[principal]]</f>
        <v>0.82899999999999352</v>
      </c>
      <c r="I71" s="14">
        <v>100.82899999999999</v>
      </c>
    </row>
    <row r="72" spans="2:9" ht="18">
      <c r="B72" s="86" t="s">
        <v>111</v>
      </c>
      <c r="C72" s="5" t="s">
        <v>4</v>
      </c>
      <c r="D72" s="5" t="s">
        <v>124</v>
      </c>
      <c r="E72" s="14">
        <v>100</v>
      </c>
      <c r="F72" s="21">
        <f>DATE(2024, 5, 3)</f>
        <v>45415</v>
      </c>
      <c r="G72" s="17">
        <f ca="1" xml:space="preserve"> RATE((TODAY() - fund_certs[[#This Row],[start]]) / 365.25, 0, 0 - fund_certs[[#This Row],[principal]], fund_certs[[#This Row],[balance]], 0)</f>
        <v>9.631498344559232E-2</v>
      </c>
      <c r="H72" s="14">
        <f>fund_certs[[#This Row],[balance]]-fund_certs[[#This Row],[principal]]</f>
        <v>23.519000000000005</v>
      </c>
      <c r="I72" s="14">
        <v>123.51900000000001</v>
      </c>
    </row>
    <row r="73" spans="2:9" ht="18">
      <c r="B73" s="86" t="s">
        <v>111</v>
      </c>
      <c r="C73" s="5" t="s">
        <v>5</v>
      </c>
      <c r="D73" s="5" t="s">
        <v>124</v>
      </c>
      <c r="E73" s="14">
        <v>200</v>
      </c>
      <c r="F73" s="21">
        <f>DATE(2024, 7, 2)</f>
        <v>45475</v>
      </c>
      <c r="G73" s="17">
        <f ca="1" xml:space="preserve"> RATE((TODAY() - fund_certs[[#This Row],[start]]) / 365.25, 0, 0 - fund_certs[[#This Row],[principal]], fund_certs[[#This Row],[balance]], 0)</f>
        <v>3.1475410371298433E-3</v>
      </c>
      <c r="H73" s="14">
        <f>fund_certs[[#This Row],[balance]]-fund_certs[[#This Row],[principal]]</f>
        <v>1.3449999999999989</v>
      </c>
      <c r="I73" s="14">
        <v>201.345</v>
      </c>
    </row>
    <row r="74" spans="2:9" ht="18">
      <c r="B74" s="86" t="s">
        <v>111</v>
      </c>
      <c r="C74" s="5" t="s">
        <v>7</v>
      </c>
      <c r="D74" s="5" t="s">
        <v>124</v>
      </c>
      <c r="E74" s="14">
        <v>900</v>
      </c>
      <c r="F74" s="15">
        <f>DATE(2024, 8, 6)</f>
        <v>45510</v>
      </c>
      <c r="G74" s="17">
        <f ca="1" xml:space="preserve"> RATE((TODAY() - fund_certs[[#This Row],[start]]) / 365.25, 0, 0 - fund_certs[[#This Row],[principal]], fund_certs[[#This Row],[balance]], 0)</f>
        <v>0.12434320945529813</v>
      </c>
      <c r="H74" s="14">
        <f>fund_certs[[#This Row],[balance]]-fund_certs[[#This Row],[principal]]</f>
        <v>242.67200000000003</v>
      </c>
      <c r="I74" s="14">
        <v>1142.672</v>
      </c>
    </row>
    <row r="75" spans="2:9" ht="18">
      <c r="B75" s="19" t="s">
        <v>109</v>
      </c>
      <c r="C75" s="5" t="s">
        <v>21</v>
      </c>
      <c r="D75" s="5" t="s">
        <v>68</v>
      </c>
      <c r="E75" s="14">
        <v>897.08600000000001</v>
      </c>
      <c r="F75" s="15">
        <f>DATE( 2025, 1, 18)</f>
        <v>45675</v>
      </c>
      <c r="G75" s="17">
        <f ca="1" xml:space="preserve"> RATE((TODAY() - fund_certs[[#This Row],[start]]) / 365.25, 0, 0 - fund_certs[[#This Row],[principal]], fund_certs[[#This Row],[balance]], 0)</f>
        <v>2.8807241116628815E-2</v>
      </c>
      <c r="H75" s="14">
        <f>fund_certs[[#This Row],[balance]]-fund_certs[[#This Row],[principal]]</f>
        <v>41.309999999999945</v>
      </c>
      <c r="I75" s="14">
        <v>938.39599999999996</v>
      </c>
    </row>
    <row r="76" spans="2:9" ht="18">
      <c r="B76" s="86" t="s">
        <v>111</v>
      </c>
      <c r="C76" s="5" t="s">
        <v>6</v>
      </c>
      <c r="D76" s="5" t="s">
        <v>124</v>
      </c>
      <c r="E76" s="14">
        <v>518.79700000000003</v>
      </c>
      <c r="F76" s="15">
        <f>DATE( 2025, 1, 18)</f>
        <v>45675</v>
      </c>
      <c r="G76" s="17">
        <f ca="1" xml:space="preserve"> RATE((TODAY() - fund_certs[[#This Row],[start]]) / 365.25, 0, 0 - fund_certs[[#This Row],[principal]], fund_certs[[#This Row],[balance]], 0)</f>
        <v>-2.5577408044189492E-2</v>
      </c>
      <c r="H76" s="14">
        <f>fund_certs[[#This Row],[balance]]-fund_certs[[#This Row],[principal]]</f>
        <v>-20.87700000000001</v>
      </c>
      <c r="I76" s="14">
        <v>497.92</v>
      </c>
    </row>
    <row r="77" spans="2:9" ht="18">
      <c r="B77" s="19" t="s">
        <v>109</v>
      </c>
      <c r="C77" s="5" t="s">
        <v>20</v>
      </c>
      <c r="D77" s="5" t="s">
        <v>125</v>
      </c>
      <c r="E77" s="14">
        <v>897.08600000000001</v>
      </c>
      <c r="F77" s="15">
        <f>DATE( 2025, 1, 18)</f>
        <v>45675</v>
      </c>
      <c r="G77" s="17">
        <f ca="1" xml:space="preserve"> RATE((TODAY() - fund_certs[[#This Row],[start]]) / 365.25, 0, 0 - fund_certs[[#This Row],[principal]], fund_certs[[#This Row],[balance]], 0)</f>
        <v>6.2698602589328897E-2</v>
      </c>
      <c r="H77" s="14">
        <f>fund_certs[[#This Row],[balance]]-fund_certs[[#This Row],[principal]]</f>
        <v>90.783999999999992</v>
      </c>
      <c r="I77" s="14">
        <v>987.87</v>
      </c>
    </row>
    <row r="78" spans="2:9" ht="18">
      <c r="B78" s="86" t="s">
        <v>111</v>
      </c>
      <c r="C78" s="5" t="s">
        <v>4</v>
      </c>
      <c r="D78" s="5" t="s">
        <v>124</v>
      </c>
      <c r="E78" s="14">
        <v>200</v>
      </c>
      <c r="F78" s="15">
        <f>DATE(2025, 4, 8)</f>
        <v>45755</v>
      </c>
      <c r="G78" s="17">
        <f ca="1" xml:space="preserve"> RATE((TODAY() - fund_certs[[#This Row],[start]]) / 365.25, 0, 0 - fund_certs[[#This Row],[principal]], fund_certs[[#This Row],[balance]], 0)</f>
        <v>0.23917371010371466</v>
      </c>
      <c r="H78" s="14">
        <f>fund_certs[[#This Row],[balance]]-fund_certs[[#This Row],[principal]]</f>
        <v>68.081000000000017</v>
      </c>
      <c r="I78" s="14">
        <v>268.08100000000002</v>
      </c>
    </row>
    <row r="79" spans="2:9" ht="18">
      <c r="B79" s="86" t="s">
        <v>111</v>
      </c>
      <c r="C79" s="5" t="s">
        <v>25</v>
      </c>
      <c r="D79" s="5" t="s">
        <v>124</v>
      </c>
      <c r="E79" s="14">
        <v>200</v>
      </c>
      <c r="F79" s="15">
        <f>DATE(2025, 5, 31)</f>
        <v>45808</v>
      </c>
      <c r="G79" s="17">
        <f ca="1" xml:space="preserve"> RATE((TODAY() - fund_certs[[#This Row],[start]]) / 365.25, 0, 0 - fund_certs[[#This Row],[principal]], fund_certs[[#This Row],[balance]], 0)</f>
        <v>-4.3220083388774352E-3</v>
      </c>
      <c r="H79" s="14">
        <f>fund_certs[[#This Row],[balance]]-fund_certs[[#This Row],[principal]]</f>
        <v>-1.0550000000000068</v>
      </c>
      <c r="I79" s="14">
        <v>198.94499999999999</v>
      </c>
    </row>
    <row r="80" spans="2:9" ht="18">
      <c r="B80" s="86" t="s">
        <v>111</v>
      </c>
      <c r="C80" s="5" t="s">
        <v>25</v>
      </c>
      <c r="D80" s="5" t="s">
        <v>124</v>
      </c>
      <c r="E80" s="14">
        <v>300</v>
      </c>
      <c r="F80" s="15">
        <f>DATE(2025, 7, 1)</f>
        <v>45839</v>
      </c>
      <c r="G80" s="17">
        <f ca="1" xml:space="preserve"> RATE((TODAY() - fund_certs[[#This Row],[start]]) / 365.25, 0, 0 - fund_certs[[#This Row],[principal]], fund_certs[[#This Row],[balance]], 0)</f>
        <v>-5.2942426961559999E-2</v>
      </c>
      <c r="H80" s="14">
        <f>fund_certs[[#This Row],[balance]]-fund_certs[[#This Row],[principal]]</f>
        <v>-17.980000000000018</v>
      </c>
      <c r="I80" s="14">
        <v>282.02</v>
      </c>
    </row>
    <row r="81" spans="2:9" ht="18">
      <c r="B81" s="86" t="s">
        <v>111</v>
      </c>
      <c r="C81" s="5" t="s">
        <v>25</v>
      </c>
      <c r="D81" s="5" t="s">
        <v>124</v>
      </c>
      <c r="E81" s="14">
        <v>200</v>
      </c>
      <c r="F81" s="15">
        <f>DATE(2025, 8, 8)</f>
        <v>45877</v>
      </c>
      <c r="G81" s="17">
        <f ca="1" xml:space="preserve"> RATE((TODAY() - fund_certs[[#This Row],[start]]) / 365.25, 0, 0 - fund_certs[[#This Row],[principal]], fund_certs[[#This Row],[balance]], 0)</f>
        <v>-0.13061417847002568</v>
      </c>
      <c r="H81" s="14">
        <f>fund_certs[[#This Row],[balance]]-fund_certs[[#This Row],[principal]]</f>
        <v>-26.903999999999996</v>
      </c>
      <c r="I81" s="14">
        <v>173.096</v>
      </c>
    </row>
    <row r="82" spans="2:9" ht="18">
      <c r="B82" s="86" t="s">
        <v>111</v>
      </c>
      <c r="C82" s="5" t="s">
        <v>20</v>
      </c>
      <c r="D82" s="5" t="s">
        <v>125</v>
      </c>
      <c r="E82" s="14">
        <v>500</v>
      </c>
      <c r="F82" s="15">
        <f>DATE( 2025, 9, 30)</f>
        <v>45930</v>
      </c>
      <c r="G82" s="17">
        <f ca="1" xml:space="preserve"> RATE((TODAY() - fund_certs[[#This Row],[start]]) / 365.25, 0, 0 - fund_certs[[#This Row],[principal]], fund_certs[[#This Row],[balance]], 0)</f>
        <v>5.6451848877127883E-2</v>
      </c>
      <c r="H82" s="14">
        <f>fund_certs[[#This Row],[balance]]-fund_certs[[#This Row],[principal]]</f>
        <v>24.960000000000036</v>
      </c>
      <c r="I82" s="14">
        <v>524.96</v>
      </c>
    </row>
    <row r="83" spans="2:9" ht="18">
      <c r="B83" s="86" t="s">
        <v>111</v>
      </c>
      <c r="C83" s="5" t="s">
        <v>25</v>
      </c>
      <c r="D83" s="5" t="s">
        <v>124</v>
      </c>
      <c r="E83" s="14">
        <v>100</v>
      </c>
      <c r="F83" s="15">
        <f>DATE(2025, 11, 3)</f>
        <v>45964</v>
      </c>
      <c r="G83" s="17">
        <f ca="1" xml:space="preserve"> RATE((TODAY() - fund_certs[[#This Row],[start]]) / 365.25, 0, 0 - fund_certs[[#This Row],[principal]], fund_certs[[#This Row],[balance]], 0)</f>
        <v>-0.13190010787687223</v>
      </c>
      <c r="H83" s="14">
        <f>fund_certs[[#This Row],[balance]]-fund_certs[[#This Row],[principal]]</f>
        <v>-10.623000000000005</v>
      </c>
      <c r="I83" s="14">
        <v>89.376999999999995</v>
      </c>
    </row>
    <row r="84" spans="2:9" ht="19.5">
      <c r="B84" s="11" t="s">
        <v>1</v>
      </c>
      <c r="C84" s="11"/>
      <c r="D84" s="11"/>
      <c r="E84" s="22">
        <f>SUBTOTAL(109,fund_certs[principal])</f>
        <v>7212.9690000000001</v>
      </c>
      <c r="F84" s="11"/>
      <c r="G84" s="25"/>
      <c r="H84" s="22"/>
      <c r="I84" s="22">
        <f>SUBTOTAL(109,fund_certs[balance])</f>
        <v>8442.4490000000005</v>
      </c>
    </row>
  </sheetData>
  <mergeCells count="1">
    <mergeCell ref="B2:D3"/>
  </mergeCells>
  <phoneticPr fontId="8" type="noConversion"/>
  <conditionalFormatting sqref="G59:I83">
    <cfRule type="expression" dxfId="1" priority="1">
      <formula>$I59&gt;$E59</formula>
    </cfRule>
    <cfRule type="expression" dxfId="0" priority="2">
      <formula>$I59&lt;$E59</formula>
    </cfRule>
  </conditionalFormatting>
  <dataValidations count="4">
    <dataValidation type="list" allowBlank="1" showInputMessage="1" showErrorMessage="1" sqref="E56" xr:uid="{28A0D4B3-7DE5-4D8E-861A-E065A8D846AA}">
      <formula1>ListofCalculateTIme</formula1>
    </dataValidation>
    <dataValidation type="list" allowBlank="1" showInputMessage="1" showErrorMessage="1" sqref="L55" xr:uid="{587872E2-0A43-464F-94AF-BBC14FA24856}">
      <formula1>#REF!</formula1>
    </dataValidation>
    <dataValidation type="list" allowBlank="1" showInputMessage="1" showErrorMessage="1" sqref="D59:D83" xr:uid="{5DC74BDC-BE27-44DF-81A8-E144FF84FB2E}">
      <formula1>INDIRECT("fund_cert_type")</formula1>
    </dataValidation>
    <dataValidation type="list" allowBlank="1" showInputMessage="1" showErrorMessage="1" sqref="E43:E54" xr:uid="{FFDA3673-D052-4324-9007-0D9D5BE87EE5}">
      <formula1>INDIRECT("term")</formula1>
    </dataValidation>
  </dataValidations>
  <pageMargins left="0.7" right="0.7" top="0.75" bottom="0.75" header="0.3" footer="0.3"/>
  <pageSetup orientation="portrait" horizontalDpi="1200" verticalDpi="1200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E4AF-1BD0-41ED-9243-948ADAA421FE}">
  <sheetPr codeName="Sheet3"/>
  <dimension ref="B1:S58"/>
  <sheetViews>
    <sheetView zoomScaleNormal="100" workbookViewId="0">
      <selection activeCell="B2" sqref="B2:D3"/>
    </sheetView>
  </sheetViews>
  <sheetFormatPr defaultRowHeight="14.25"/>
  <cols>
    <col min="1" max="1" width="3.69921875" style="4" customWidth="1"/>
    <col min="2" max="2" width="13" style="4" bestFit="1" customWidth="1"/>
    <col min="3" max="3" width="17.59765625" style="4" bestFit="1" customWidth="1"/>
    <col min="4" max="4" width="19.796875" style="4" bestFit="1" customWidth="1"/>
    <col min="5" max="5" width="3.69921875" style="4" customWidth="1"/>
    <col min="6" max="6" width="8.796875" style="4"/>
    <col min="7" max="7" width="11.5" style="4" bestFit="1" customWidth="1"/>
    <col min="8" max="8" width="3.69921875" style="4" customWidth="1"/>
    <col min="9" max="9" width="8.796875" style="4"/>
    <col min="10" max="10" width="13.796875" style="4" bestFit="1" customWidth="1"/>
    <col min="11" max="11" width="10.09765625" style="4" bestFit="1" customWidth="1"/>
    <col min="12" max="12" width="3.69921875" style="4" customWidth="1"/>
    <col min="13" max="13" width="17.59765625" style="4" bestFit="1" customWidth="1"/>
    <col min="14" max="14" width="11.8984375" style="4" bestFit="1" customWidth="1"/>
    <col min="15" max="15" width="3.69921875" style="4" customWidth="1"/>
    <col min="16" max="16" width="19.796875" style="4" bestFit="1" customWidth="1"/>
    <col min="17" max="17" width="11" style="4" bestFit="1" customWidth="1"/>
    <col min="18" max="18" width="3.69921875" style="4" customWidth="1"/>
    <col min="19" max="19" width="20.8984375" style="4" customWidth="1"/>
    <col min="20" max="20" width="20.8984375" style="4" bestFit="1" customWidth="1"/>
    <col min="21" max="16384" width="8.796875" style="4"/>
  </cols>
  <sheetData>
    <row r="1" spans="2:19" customFormat="1" ht="18"/>
    <row r="2" spans="2:19" customFormat="1" ht="14.25" customHeight="1">
      <c r="B2" s="199" t="s">
        <v>140</v>
      </c>
      <c r="C2" s="199"/>
      <c r="D2" s="199"/>
      <c r="E2" s="10"/>
      <c r="F2" s="10"/>
      <c r="G2" s="10"/>
      <c r="H2" s="10"/>
    </row>
    <row r="3" spans="2:19" customFormat="1" ht="14.25" customHeight="1">
      <c r="B3" s="199"/>
      <c r="C3" s="199"/>
      <c r="D3" s="199"/>
      <c r="E3" s="10"/>
      <c r="F3" s="10"/>
      <c r="G3" s="10"/>
      <c r="H3" s="10"/>
    </row>
    <row r="4" spans="2:19" customFormat="1" ht="18"/>
    <row r="5" spans="2:19" ht="16.5">
      <c r="B5" s="13" t="s">
        <v>139</v>
      </c>
      <c r="F5" s="13" t="s">
        <v>128</v>
      </c>
      <c r="I5" s="13" t="s">
        <v>131</v>
      </c>
    </row>
    <row r="6" spans="2:19" ht="19.5">
      <c r="B6" s="100" t="s">
        <v>31</v>
      </c>
      <c r="C6" s="103" t="s">
        <v>33</v>
      </c>
      <c r="D6" s="104" t="s">
        <v>32</v>
      </c>
      <c r="F6" s="94" t="s">
        <v>119</v>
      </c>
      <c r="G6" s="94" t="s">
        <v>68</v>
      </c>
      <c r="I6" s="94" t="s">
        <v>127</v>
      </c>
      <c r="J6" s="94" t="s">
        <v>105</v>
      </c>
      <c r="K6" s="94" t="s">
        <v>113</v>
      </c>
    </row>
    <row r="7" spans="2:19" ht="18">
      <c r="B7" s="101" t="s">
        <v>34</v>
      </c>
      <c r="C7" s="5" t="s">
        <v>35</v>
      </c>
      <c r="D7" s="136" t="s">
        <v>39</v>
      </c>
      <c r="F7" s="120">
        <f>DATE(2022, 7,1)</f>
        <v>44743</v>
      </c>
      <c r="G7" s="95">
        <v>11409.516</v>
      </c>
      <c r="I7" s="120">
        <v>44743</v>
      </c>
      <c r="J7" s="95">
        <v>1200</v>
      </c>
      <c r="K7" s="95">
        <v>20</v>
      </c>
      <c r="M7" s="144" t="s">
        <v>122</v>
      </c>
      <c r="N7" t="s" vm="2">
        <v>123</v>
      </c>
      <c r="O7"/>
      <c r="P7" s="144" t="s">
        <v>122</v>
      </c>
      <c r="Q7" t="s" vm="2">
        <v>123</v>
      </c>
      <c r="S7" s="105" t="s">
        <v>23</v>
      </c>
    </row>
    <row r="8" spans="2:19" ht="18">
      <c r="B8" s="101" t="s">
        <v>34</v>
      </c>
      <c r="C8" s="5" t="s">
        <v>35</v>
      </c>
      <c r="D8" s="136" t="s">
        <v>40</v>
      </c>
      <c r="F8" s="120">
        <f t="shared" ref="F8:F55" si="0">DATE(YEAR(F7), MONTH(F7) + 1, 1)</f>
        <v>44774</v>
      </c>
      <c r="G8" s="95">
        <v>12264.099932227575</v>
      </c>
      <c r="I8" s="120">
        <f>DATE(YEAR(I7), MONTH(I7) + 1, 1)</f>
        <v>44774</v>
      </c>
      <c r="J8" s="95">
        <v>1300</v>
      </c>
      <c r="K8" s="95">
        <v>63.705000000000013</v>
      </c>
      <c r="M8" s="144" t="s">
        <v>31</v>
      </c>
      <c r="N8" t="s" vm="1">
        <v>34</v>
      </c>
      <c r="O8"/>
      <c r="P8" s="144" t="s">
        <v>31</v>
      </c>
      <c r="Q8" t="s" vm="1">
        <v>34</v>
      </c>
      <c r="S8" s="106" t="s">
        <v>8</v>
      </c>
    </row>
    <row r="9" spans="2:19" ht="19.5">
      <c r="B9" s="101" t="s">
        <v>34</v>
      </c>
      <c r="C9" s="5" t="s">
        <v>35</v>
      </c>
      <c r="D9" s="136" t="s">
        <v>41</v>
      </c>
      <c r="F9" s="120">
        <f t="shared" si="0"/>
        <v>44805</v>
      </c>
      <c r="G9" s="95">
        <v>13037.103679806258</v>
      </c>
      <c r="I9" s="120">
        <f t="shared" ref="I9:I55" si="1">DATE(YEAR(I8), MONTH(I8) + 1, 1)</f>
        <v>44805</v>
      </c>
      <c r="J9" s="95">
        <v>1400</v>
      </c>
      <c r="K9" s="95">
        <v>43.569000000000003</v>
      </c>
      <c r="O9"/>
      <c r="S9" s="107" t="s">
        <v>9</v>
      </c>
    </row>
    <row r="10" spans="2:19" ht="18">
      <c r="B10" s="101" t="s">
        <v>34</v>
      </c>
      <c r="C10" s="5" t="s">
        <v>36</v>
      </c>
      <c r="D10" s="136" t="s">
        <v>42</v>
      </c>
      <c r="F10" s="120">
        <f t="shared" si="0"/>
        <v>44835</v>
      </c>
      <c r="G10" s="95">
        <v>14478.924495333778</v>
      </c>
      <c r="I10" s="120">
        <f t="shared" si="1"/>
        <v>44835</v>
      </c>
      <c r="J10" s="95">
        <v>1500</v>
      </c>
      <c r="K10" s="95">
        <v>-45.057999999999986</v>
      </c>
      <c r="M10" s="144" t="s">
        <v>33</v>
      </c>
      <c r="N10" t="s">
        <v>29</v>
      </c>
      <c r="O10"/>
      <c r="P10" s="144" t="s">
        <v>32</v>
      </c>
      <c r="Q10" t="s">
        <v>29</v>
      </c>
      <c r="S10" s="108" t="s">
        <v>10</v>
      </c>
    </row>
    <row r="11" spans="2:19" ht="19.5">
      <c r="B11" s="101" t="s">
        <v>34</v>
      </c>
      <c r="C11" s="5" t="s">
        <v>36</v>
      </c>
      <c r="D11" s="136" t="s">
        <v>43</v>
      </c>
      <c r="F11" s="120">
        <f t="shared" si="0"/>
        <v>44866</v>
      </c>
      <c r="G11" s="95">
        <v>15675.314839221341</v>
      </c>
      <c r="I11" s="120">
        <f t="shared" si="1"/>
        <v>44866</v>
      </c>
      <c r="J11" s="95">
        <v>1500</v>
      </c>
      <c r="K11" s="95">
        <v>-235.43500000000003</v>
      </c>
      <c r="M11" s="145" t="s">
        <v>36</v>
      </c>
      <c r="N11" s="167">
        <v>2.3E-2</v>
      </c>
      <c r="O11"/>
      <c r="P11" s="145" t="s">
        <v>143</v>
      </c>
      <c r="Q11" s="167">
        <v>5880</v>
      </c>
      <c r="S11" s="109" t="s">
        <v>12</v>
      </c>
    </row>
    <row r="12" spans="2:19" ht="18">
      <c r="B12" s="101" t="s">
        <v>34</v>
      </c>
      <c r="C12" s="5" t="s">
        <v>36</v>
      </c>
      <c r="D12" s="136" t="s">
        <v>44</v>
      </c>
      <c r="F12" s="120">
        <f t="shared" si="0"/>
        <v>44896</v>
      </c>
      <c r="G12" s="95">
        <v>18121.897635938731</v>
      </c>
      <c r="I12" s="120">
        <f t="shared" si="1"/>
        <v>44896</v>
      </c>
      <c r="J12" s="95">
        <v>1500</v>
      </c>
      <c r="K12" s="95">
        <v>-177.47799999999992</v>
      </c>
      <c r="M12" s="145" t="s">
        <v>35</v>
      </c>
      <c r="N12" s="167">
        <v>50</v>
      </c>
      <c r="O12"/>
      <c r="P12" s="145" t="s">
        <v>142</v>
      </c>
      <c r="Q12" s="167">
        <v>273</v>
      </c>
      <c r="S12" s="110" t="s">
        <v>14</v>
      </c>
    </row>
    <row r="13" spans="2:19" ht="18">
      <c r="B13" s="101" t="s">
        <v>34</v>
      </c>
      <c r="C13" s="5" t="s">
        <v>37</v>
      </c>
      <c r="D13" s="136" t="s">
        <v>143</v>
      </c>
      <c r="F13" s="120">
        <f t="shared" si="0"/>
        <v>44927</v>
      </c>
      <c r="G13" s="95">
        <v>22623.609618839317</v>
      </c>
      <c r="I13" s="120">
        <f t="shared" si="1"/>
        <v>44927</v>
      </c>
      <c r="J13" s="95">
        <v>1500</v>
      </c>
      <c r="K13" s="95">
        <v>-573.99</v>
      </c>
      <c r="M13" s="145" t="s">
        <v>37</v>
      </c>
      <c r="N13" s="167">
        <v>6153</v>
      </c>
      <c r="O13"/>
      <c r="P13" s="145" t="s">
        <v>39</v>
      </c>
      <c r="Q13" s="167">
        <v>50</v>
      </c>
      <c r="S13" s="111" t="s">
        <v>16</v>
      </c>
    </row>
    <row r="14" spans="2:19" ht="18">
      <c r="B14" s="101" t="s">
        <v>34</v>
      </c>
      <c r="C14" s="5" t="s">
        <v>37</v>
      </c>
      <c r="D14" s="136" t="s">
        <v>142</v>
      </c>
      <c r="F14" s="120">
        <f t="shared" si="0"/>
        <v>44958</v>
      </c>
      <c r="G14" s="95">
        <v>25478.470913582911</v>
      </c>
      <c r="I14" s="120">
        <f t="shared" si="1"/>
        <v>44958</v>
      </c>
      <c r="J14" s="95">
        <v>1418.5840000000001</v>
      </c>
      <c r="K14" s="95">
        <v>-72.306999999999988</v>
      </c>
      <c r="M14" s="145" t="s">
        <v>27</v>
      </c>
      <c r="N14" s="167">
        <v>6203.0230000000001</v>
      </c>
      <c r="O14"/>
      <c r="P14" s="145" t="s">
        <v>43</v>
      </c>
      <c r="Q14" s="167">
        <v>2.3E-2</v>
      </c>
    </row>
    <row r="15" spans="2:19" ht="18">
      <c r="B15" s="101" t="s">
        <v>34</v>
      </c>
      <c r="C15" s="5" t="s">
        <v>37</v>
      </c>
      <c r="D15" s="136" t="s">
        <v>45</v>
      </c>
      <c r="F15" s="120">
        <f t="shared" si="0"/>
        <v>44986</v>
      </c>
      <c r="G15" s="95">
        <v>27439.069746770729</v>
      </c>
      <c r="I15" s="120">
        <f t="shared" si="1"/>
        <v>44986</v>
      </c>
      <c r="J15" s="95">
        <v>1418.5840000000001</v>
      </c>
      <c r="K15" s="95">
        <v>-54.383000000000024</v>
      </c>
      <c r="O15"/>
      <c r="P15" s="145" t="s">
        <v>27</v>
      </c>
      <c r="Q15" s="167">
        <v>6203.0230000000001</v>
      </c>
    </row>
    <row r="16" spans="2:19" ht="18">
      <c r="B16" s="101" t="s">
        <v>34</v>
      </c>
      <c r="C16" s="5" t="s">
        <v>37</v>
      </c>
      <c r="D16" s="136" t="s">
        <v>46</v>
      </c>
      <c r="F16" s="120">
        <f t="shared" si="0"/>
        <v>45017</v>
      </c>
      <c r="G16" s="95">
        <v>28837.610716818101</v>
      </c>
      <c r="I16" s="120">
        <f t="shared" si="1"/>
        <v>45017</v>
      </c>
      <c r="J16" s="95">
        <v>1418.5840000000001</v>
      </c>
      <c r="K16" s="95">
        <v>-58.301000000000002</v>
      </c>
      <c r="M16" s="144" t="s">
        <v>122</v>
      </c>
      <c r="N16" t="s" vm="2">
        <v>123</v>
      </c>
      <c r="O16"/>
      <c r="P16" s="144" t="s">
        <v>122</v>
      </c>
      <c r="Q16" t="s" vm="2">
        <v>123</v>
      </c>
      <c r="S16" s="47"/>
    </row>
    <row r="17" spans="2:19" ht="18">
      <c r="B17" s="101" t="s">
        <v>34</v>
      </c>
      <c r="C17" s="5" t="s">
        <v>37</v>
      </c>
      <c r="D17" s="136" t="s">
        <v>47</v>
      </c>
      <c r="F17" s="120">
        <f t="shared" si="0"/>
        <v>45047</v>
      </c>
      <c r="G17" s="95">
        <v>29533.302037414011</v>
      </c>
      <c r="I17" s="120">
        <f t="shared" si="1"/>
        <v>45047</v>
      </c>
      <c r="J17" s="95">
        <v>1518.5840000000001</v>
      </c>
      <c r="K17" s="95">
        <v>-57.031999999999968</v>
      </c>
      <c r="M17" s="144" t="s">
        <v>31</v>
      </c>
      <c r="N17" t="s" vm="3">
        <v>118</v>
      </c>
      <c r="O17"/>
      <c r="P17" s="144" t="s">
        <v>31</v>
      </c>
      <c r="Q17" t="s" vm="3">
        <v>118</v>
      </c>
      <c r="S17" s="48"/>
    </row>
    <row r="18" spans="2:19" ht="18">
      <c r="B18" s="101" t="s">
        <v>118</v>
      </c>
      <c r="C18" s="5" t="s">
        <v>38</v>
      </c>
      <c r="D18" s="136" t="s">
        <v>48</v>
      </c>
      <c r="F18" s="120">
        <f t="shared" si="0"/>
        <v>45078</v>
      </c>
      <c r="G18" s="95">
        <v>28313.538444572951</v>
      </c>
      <c r="I18" s="120">
        <f t="shared" si="1"/>
        <v>45078</v>
      </c>
      <c r="J18" s="95">
        <v>1480.548</v>
      </c>
      <c r="K18" s="95">
        <v>35.18900000000005</v>
      </c>
      <c r="O18"/>
      <c r="S18" s="49"/>
    </row>
    <row r="19" spans="2:19" ht="18">
      <c r="B19" s="101" t="s">
        <v>118</v>
      </c>
      <c r="C19" s="5" t="s">
        <v>38</v>
      </c>
      <c r="D19" s="136" t="s">
        <v>49</v>
      </c>
      <c r="F19" s="120">
        <f t="shared" si="0"/>
        <v>45108</v>
      </c>
      <c r="G19" s="95">
        <v>28104.112995827199</v>
      </c>
      <c r="I19" s="120">
        <f t="shared" si="1"/>
        <v>45108</v>
      </c>
      <c r="J19" s="95">
        <v>1680.548</v>
      </c>
      <c r="K19" s="95">
        <v>145.81499999999988</v>
      </c>
      <c r="M19" s="144" t="s">
        <v>33</v>
      </c>
      <c r="N19" t="s">
        <v>129</v>
      </c>
      <c r="O19"/>
      <c r="P19" s="144" t="s">
        <v>32</v>
      </c>
      <c r="Q19" t="s">
        <v>29</v>
      </c>
      <c r="S19" s="50"/>
    </row>
    <row r="20" spans="2:19" ht="18">
      <c r="B20" s="101" t="s">
        <v>118</v>
      </c>
      <c r="C20" s="5" t="s">
        <v>38</v>
      </c>
      <c r="D20" s="136" t="s">
        <v>50</v>
      </c>
      <c r="F20" s="120">
        <f t="shared" si="0"/>
        <v>45139</v>
      </c>
      <c r="G20" s="95">
        <v>29534.006173499114</v>
      </c>
      <c r="I20" s="120">
        <f t="shared" si="1"/>
        <v>45139</v>
      </c>
      <c r="J20" s="95">
        <v>1880.5480000000002</v>
      </c>
      <c r="K20" s="95">
        <v>145.50599999999986</v>
      </c>
      <c r="M20" s="145" t="s">
        <v>38</v>
      </c>
      <c r="N20" s="167">
        <v>4428.08</v>
      </c>
      <c r="O20"/>
      <c r="P20" s="145" t="s">
        <v>48</v>
      </c>
      <c r="Q20" s="167">
        <v>2843</v>
      </c>
      <c r="S20" s="51"/>
    </row>
    <row r="21" spans="2:19" ht="18">
      <c r="B21" s="101" t="s">
        <v>118</v>
      </c>
      <c r="C21" s="5" t="s">
        <v>38</v>
      </c>
      <c r="D21" s="136" t="s">
        <v>51</v>
      </c>
      <c r="F21" s="120">
        <f t="shared" si="0"/>
        <v>45170</v>
      </c>
      <c r="G21" s="95">
        <v>30066.016484296022</v>
      </c>
      <c r="I21" s="120">
        <f t="shared" si="1"/>
        <v>45170</v>
      </c>
      <c r="J21" s="95">
        <v>2080.5480000000002</v>
      </c>
      <c r="K21" s="95">
        <v>208.41599999999994</v>
      </c>
      <c r="M21" s="145" t="s">
        <v>53</v>
      </c>
      <c r="N21" s="167">
        <v>1970.001</v>
      </c>
      <c r="O21"/>
      <c r="P21" s="145" t="s">
        <v>57</v>
      </c>
      <c r="Q21" s="167">
        <v>1561</v>
      </c>
    </row>
    <row r="22" spans="2:19" ht="18">
      <c r="B22" s="101" t="s">
        <v>118</v>
      </c>
      <c r="C22" s="5" t="s">
        <v>38</v>
      </c>
      <c r="D22" s="136" t="s">
        <v>52</v>
      </c>
      <c r="F22" s="120">
        <f t="shared" si="0"/>
        <v>45200</v>
      </c>
      <c r="G22" s="95">
        <v>31350.196437777293</v>
      </c>
      <c r="I22" s="120">
        <f t="shared" si="1"/>
        <v>45200</v>
      </c>
      <c r="J22" s="95">
        <v>2480.5480000000002</v>
      </c>
      <c r="K22" s="95">
        <v>120.04699999999991</v>
      </c>
      <c r="M22" s="145" t="s">
        <v>27</v>
      </c>
      <c r="N22" s="167">
        <v>6398.081000000001</v>
      </c>
      <c r="O22"/>
      <c r="P22" s="145" t="s">
        <v>50</v>
      </c>
      <c r="Q22" s="167">
        <v>609.41000000000008</v>
      </c>
      <c r="S22" s="131"/>
    </row>
    <row r="23" spans="2:19" ht="18">
      <c r="B23" s="101" t="s">
        <v>118</v>
      </c>
      <c r="C23" s="5" t="s">
        <v>38</v>
      </c>
      <c r="D23" s="136" t="s">
        <v>138</v>
      </c>
      <c r="F23" s="120">
        <f t="shared" si="0"/>
        <v>45231</v>
      </c>
      <c r="G23" s="95">
        <v>24395.434880227975</v>
      </c>
      <c r="I23" s="120">
        <f t="shared" si="1"/>
        <v>45231</v>
      </c>
      <c r="J23" s="95">
        <v>2480.5480000000002</v>
      </c>
      <c r="K23" s="95">
        <v>120.04699999999991</v>
      </c>
      <c r="M23"/>
      <c r="N23"/>
      <c r="O23"/>
      <c r="P23" s="145" t="s">
        <v>51</v>
      </c>
      <c r="Q23" s="167">
        <v>558.34299999999996</v>
      </c>
      <c r="S23" s="133"/>
    </row>
    <row r="24" spans="2:19" ht="18">
      <c r="B24" s="101" t="s">
        <v>118</v>
      </c>
      <c r="C24" s="5" t="s">
        <v>53</v>
      </c>
      <c r="D24" s="136" t="s">
        <v>54</v>
      </c>
      <c r="F24" s="120">
        <f t="shared" si="0"/>
        <v>45261</v>
      </c>
      <c r="G24" s="95">
        <v>25043.247086036077</v>
      </c>
      <c r="I24" s="120">
        <f t="shared" si="1"/>
        <v>45261</v>
      </c>
      <c r="J24" s="95">
        <v>2680.5480000000002</v>
      </c>
      <c r="K24" s="95">
        <v>126.72499999999991</v>
      </c>
      <c r="M24"/>
      <c r="N24"/>
      <c r="O24"/>
      <c r="P24" s="145" t="s">
        <v>54</v>
      </c>
      <c r="Q24" s="167">
        <v>365</v>
      </c>
      <c r="S24" s="129"/>
    </row>
    <row r="25" spans="2:19" ht="18">
      <c r="B25" s="101" t="s">
        <v>118</v>
      </c>
      <c r="C25" s="5" t="s">
        <v>53</v>
      </c>
      <c r="D25" s="136" t="s">
        <v>55</v>
      </c>
      <c r="F25" s="120">
        <f t="shared" si="0"/>
        <v>45292</v>
      </c>
      <c r="G25" s="95">
        <v>26986.114981266874</v>
      </c>
      <c r="I25" s="120">
        <f t="shared" si="1"/>
        <v>45292</v>
      </c>
      <c r="J25" s="95">
        <v>2880.5480000000002</v>
      </c>
      <c r="K25" s="95">
        <v>179.16499999999996</v>
      </c>
      <c r="P25" s="145" t="s">
        <v>27</v>
      </c>
      <c r="Q25" s="167">
        <v>5936.7530000000006</v>
      </c>
      <c r="S25" s="132"/>
    </row>
    <row r="26" spans="2:19" ht="18">
      <c r="B26" s="101" t="s">
        <v>118</v>
      </c>
      <c r="C26" s="5" t="s">
        <v>53</v>
      </c>
      <c r="D26" s="136" t="s">
        <v>137</v>
      </c>
      <c r="F26" s="120">
        <f t="shared" si="0"/>
        <v>45323</v>
      </c>
      <c r="G26" s="95">
        <v>31577.788471295415</v>
      </c>
      <c r="I26" s="120">
        <f t="shared" si="1"/>
        <v>45323</v>
      </c>
      <c r="J26" s="95">
        <v>3080.5479999999998</v>
      </c>
      <c r="K26" s="95">
        <v>181.0859999999999</v>
      </c>
      <c r="M26"/>
      <c r="N26"/>
      <c r="S26" s="130"/>
    </row>
    <row r="27" spans="2:19" ht="18">
      <c r="B27" s="101" t="s">
        <v>118</v>
      </c>
      <c r="C27" s="5" t="s">
        <v>53</v>
      </c>
      <c r="D27" s="136" t="s">
        <v>56</v>
      </c>
      <c r="F27" s="120">
        <f t="shared" si="0"/>
        <v>45352</v>
      </c>
      <c r="G27" s="95">
        <v>32827.420748174743</v>
      </c>
      <c r="I27" s="120">
        <f t="shared" si="1"/>
        <v>45352</v>
      </c>
      <c r="J27" s="95">
        <v>3280.5479999999998</v>
      </c>
      <c r="K27" s="95">
        <v>231.80299999999988</v>
      </c>
      <c r="M27"/>
      <c r="N27"/>
    </row>
    <row r="28" spans="2:19" ht="18">
      <c r="B28" s="101" t="s">
        <v>118</v>
      </c>
      <c r="C28" s="5" t="s">
        <v>53</v>
      </c>
      <c r="D28" s="136" t="s">
        <v>57</v>
      </c>
      <c r="F28" s="120">
        <f t="shared" si="0"/>
        <v>45383</v>
      </c>
      <c r="G28" s="95">
        <v>33124.251909459614</v>
      </c>
      <c r="I28" s="120">
        <f t="shared" si="1"/>
        <v>45383</v>
      </c>
      <c r="J28" s="95">
        <v>3380.5479999999998</v>
      </c>
      <c r="K28" s="95">
        <v>357.5379999999999</v>
      </c>
      <c r="M28" s="144" t="s">
        <v>94</v>
      </c>
      <c r="N28" t="s">
        <v>141</v>
      </c>
      <c r="P28" s="144" t="s">
        <v>130</v>
      </c>
      <c r="Q28" t="s">
        <v>69</v>
      </c>
      <c r="S28" s="112"/>
    </row>
    <row r="29" spans="2:19" ht="18">
      <c r="B29" s="101" t="s">
        <v>118</v>
      </c>
      <c r="C29" s="5" t="s">
        <v>58</v>
      </c>
      <c r="D29" s="136" t="s">
        <v>59</v>
      </c>
      <c r="F29" s="120">
        <f t="shared" si="0"/>
        <v>45413</v>
      </c>
      <c r="G29" s="95">
        <v>33894.122926793163</v>
      </c>
      <c r="I29" s="120">
        <f t="shared" si="1"/>
        <v>45413</v>
      </c>
      <c r="J29" s="95">
        <v>3280.5479999999998</v>
      </c>
      <c r="K29" s="95">
        <v>452.03699999999981</v>
      </c>
      <c r="M29" s="145" t="s">
        <v>4</v>
      </c>
      <c r="N29" s="146">
        <v>0.17784377495203108</v>
      </c>
      <c r="P29" s="145" t="s">
        <v>68</v>
      </c>
      <c r="Q29" s="146">
        <v>0.11115210764080422</v>
      </c>
      <c r="S29" s="113"/>
    </row>
    <row r="30" spans="2:19" ht="18">
      <c r="B30" s="101" t="s">
        <v>118</v>
      </c>
      <c r="C30" s="5" t="s">
        <v>58</v>
      </c>
      <c r="D30" s="136" t="s">
        <v>60</v>
      </c>
      <c r="F30" s="120">
        <f t="shared" si="0"/>
        <v>45444</v>
      </c>
      <c r="G30" s="95">
        <v>35608.321619153787</v>
      </c>
      <c r="I30" s="120">
        <f t="shared" si="1"/>
        <v>45444</v>
      </c>
      <c r="J30" s="95">
        <v>3280.5479999999998</v>
      </c>
      <c r="K30" s="95">
        <v>452.03699999999981</v>
      </c>
      <c r="M30" s="145" t="s">
        <v>5</v>
      </c>
      <c r="N30" s="146">
        <v>0.13863453602147907</v>
      </c>
      <c r="P30" s="145" t="s">
        <v>125</v>
      </c>
      <c r="Q30" s="146">
        <v>0.17919326489268692</v>
      </c>
      <c r="S30" s="114"/>
    </row>
    <row r="31" spans="2:19" ht="18">
      <c r="B31" s="101" t="s">
        <v>118</v>
      </c>
      <c r="C31" s="5" t="s">
        <v>58</v>
      </c>
      <c r="D31" s="136" t="s">
        <v>61</v>
      </c>
      <c r="F31" s="120">
        <f t="shared" si="0"/>
        <v>45474</v>
      </c>
      <c r="G31" s="95">
        <v>26213.939229874373</v>
      </c>
      <c r="I31" s="120">
        <f t="shared" si="1"/>
        <v>45474</v>
      </c>
      <c r="J31" s="95">
        <v>3481.4466950000001</v>
      </c>
      <c r="K31" s="95">
        <v>754.59630499999957</v>
      </c>
      <c r="M31" s="145" t="s">
        <v>20</v>
      </c>
      <c r="N31" s="146">
        <v>0.17919326489268692</v>
      </c>
      <c r="P31" s="145" t="s">
        <v>124</v>
      </c>
      <c r="Q31" s="146">
        <v>0.70965462746650876</v>
      </c>
      <c r="S31" s="115"/>
    </row>
    <row r="32" spans="2:19" ht="18">
      <c r="B32" s="101" t="s">
        <v>118</v>
      </c>
      <c r="C32" s="5" t="s">
        <v>58</v>
      </c>
      <c r="D32" s="136" t="s">
        <v>62</v>
      </c>
      <c r="F32" s="120">
        <f t="shared" si="0"/>
        <v>45505</v>
      </c>
      <c r="G32" s="95">
        <v>34968.088030253261</v>
      </c>
      <c r="I32" s="120">
        <f t="shared" si="1"/>
        <v>45505</v>
      </c>
      <c r="J32" s="95">
        <v>3530.8326949999996</v>
      </c>
      <c r="K32" s="95">
        <v>695.93530499999997</v>
      </c>
      <c r="M32" s="145" t="s">
        <v>25</v>
      </c>
      <c r="N32" s="146">
        <v>8.8059519222443622E-2</v>
      </c>
      <c r="P32" s="145" t="s">
        <v>27</v>
      </c>
      <c r="Q32" s="146">
        <v>1</v>
      </c>
      <c r="S32" s="115"/>
    </row>
    <row r="33" spans="2:19" ht="18">
      <c r="B33" s="101" t="s">
        <v>118</v>
      </c>
      <c r="C33" s="5" t="s">
        <v>63</v>
      </c>
      <c r="D33" s="136" t="s">
        <v>64</v>
      </c>
      <c r="F33" s="120">
        <f t="shared" si="0"/>
        <v>45536</v>
      </c>
      <c r="G33" s="95">
        <v>33891.991423373984</v>
      </c>
      <c r="I33" s="120">
        <f t="shared" si="1"/>
        <v>45536</v>
      </c>
      <c r="J33" s="95">
        <v>3530.8326949999996</v>
      </c>
      <c r="K33" s="95">
        <v>695.93530499999997</v>
      </c>
      <c r="M33" s="145" t="s">
        <v>6</v>
      </c>
      <c r="N33" s="146">
        <v>0.16976839303382227</v>
      </c>
      <c r="P33"/>
      <c r="Q33"/>
      <c r="S33" s="116"/>
    </row>
    <row r="34" spans="2:19" ht="18">
      <c r="B34" s="102" t="s">
        <v>118</v>
      </c>
      <c r="C34" s="137" t="s">
        <v>63</v>
      </c>
      <c r="D34" s="138" t="s">
        <v>65</v>
      </c>
      <c r="F34" s="120">
        <f t="shared" si="0"/>
        <v>45566</v>
      </c>
      <c r="G34" s="95">
        <v>34697.059994018797</v>
      </c>
      <c r="I34" s="120">
        <f t="shared" si="1"/>
        <v>45566</v>
      </c>
      <c r="J34" s="95">
        <v>3530.8326949999996</v>
      </c>
      <c r="K34" s="95">
        <v>742.38030499999991</v>
      </c>
      <c r="M34" s="145" t="s">
        <v>7</v>
      </c>
      <c r="N34" s="146">
        <v>0.13534840423673272</v>
      </c>
      <c r="P34"/>
      <c r="Q34"/>
    </row>
    <row r="35" spans="2:19" ht="18">
      <c r="F35" s="120">
        <f t="shared" si="0"/>
        <v>45597</v>
      </c>
      <c r="G35" s="95">
        <v>33012.046967620961</v>
      </c>
      <c r="I35" s="120">
        <f t="shared" si="1"/>
        <v>45597</v>
      </c>
      <c r="J35" s="95">
        <v>3530.8326949999996</v>
      </c>
      <c r="K35" s="95">
        <v>658.22330499999998</v>
      </c>
      <c r="M35" s="145" t="s">
        <v>21</v>
      </c>
      <c r="N35" s="146">
        <v>0.11115210764080422</v>
      </c>
      <c r="S35" s="139"/>
    </row>
    <row r="36" spans="2:19" ht="19.5">
      <c r="B36" s="135" t="s">
        <v>31</v>
      </c>
      <c r="C36" s="135" t="s">
        <v>83</v>
      </c>
      <c r="F36" s="120">
        <f t="shared" si="0"/>
        <v>45627</v>
      </c>
      <c r="G36" s="95">
        <v>33381.678383323153</v>
      </c>
      <c r="I36" s="120">
        <f t="shared" si="1"/>
        <v>45627</v>
      </c>
      <c r="J36" s="95">
        <v>3530.8326949999996</v>
      </c>
      <c r="K36" s="95">
        <v>736.83930499999997</v>
      </c>
      <c r="M36" s="145" t="s">
        <v>27</v>
      </c>
      <c r="N36" s="146">
        <v>1</v>
      </c>
      <c r="S36" s="140"/>
    </row>
    <row r="37" spans="2:19" ht="18">
      <c r="B37" s="5" t="s">
        <v>77</v>
      </c>
      <c r="C37" s="5" t="s">
        <v>84</v>
      </c>
      <c r="F37" s="120">
        <f t="shared" si="0"/>
        <v>45658</v>
      </c>
      <c r="G37" s="95">
        <v>39531.294245650701</v>
      </c>
      <c r="I37" s="120">
        <f t="shared" si="1"/>
        <v>45658</v>
      </c>
      <c r="J37" s="95">
        <v>5843.8016949999992</v>
      </c>
      <c r="K37" s="95">
        <v>781.04630499999996</v>
      </c>
      <c r="P37"/>
      <c r="Q37"/>
      <c r="S37" s="141"/>
    </row>
    <row r="38" spans="2:19" ht="18">
      <c r="B38" s="5" t="s">
        <v>78</v>
      </c>
      <c r="C38" s="5" t="s">
        <v>85</v>
      </c>
      <c r="F38" s="120">
        <f t="shared" si="0"/>
        <v>45689</v>
      </c>
      <c r="G38" s="95">
        <v>40288.801100573139</v>
      </c>
      <c r="I38" s="120">
        <f t="shared" si="1"/>
        <v>45689</v>
      </c>
      <c r="J38" s="95">
        <v>5843.8016949999992</v>
      </c>
      <c r="K38" s="95">
        <v>873.22430499999996</v>
      </c>
      <c r="P38"/>
      <c r="Q38"/>
      <c r="S38" s="142"/>
    </row>
    <row r="39" spans="2:19" ht="18">
      <c r="B39" s="5" t="s">
        <v>79</v>
      </c>
      <c r="C39" s="5" t="s">
        <v>86</v>
      </c>
      <c r="F39" s="120">
        <f t="shared" si="0"/>
        <v>45717</v>
      </c>
      <c r="G39" s="95">
        <v>39395.100899519479</v>
      </c>
      <c r="I39" s="120">
        <f t="shared" si="1"/>
        <v>45717</v>
      </c>
      <c r="J39" s="95">
        <v>5843.8016949999992</v>
      </c>
      <c r="K39" s="95">
        <v>789.73030499999993</v>
      </c>
      <c r="P39"/>
      <c r="Q39"/>
      <c r="S39" s="143"/>
    </row>
    <row r="40" spans="2:19" ht="18">
      <c r="B40" s="5" t="s">
        <v>80</v>
      </c>
      <c r="C40" s="5" t="s">
        <v>87</v>
      </c>
      <c r="F40" s="120">
        <f t="shared" si="0"/>
        <v>45748</v>
      </c>
      <c r="G40" s="95">
        <v>43052.134453189639</v>
      </c>
      <c r="I40" s="120">
        <f t="shared" si="1"/>
        <v>45748</v>
      </c>
      <c r="J40" s="95">
        <v>6243.8016949999992</v>
      </c>
      <c r="K40" s="95">
        <v>856.924305</v>
      </c>
      <c r="P40"/>
      <c r="Q40"/>
    </row>
    <row r="41" spans="2:19" ht="18">
      <c r="B41" s="5" t="s">
        <v>81</v>
      </c>
      <c r="C41" s="5" t="s">
        <v>88</v>
      </c>
      <c r="F41" s="120">
        <f t="shared" si="0"/>
        <v>45778</v>
      </c>
      <c r="G41" s="95">
        <v>45329.589932650524</v>
      </c>
      <c r="I41" s="120">
        <f t="shared" si="1"/>
        <v>45778</v>
      </c>
      <c r="J41" s="95">
        <v>6543.8016949999992</v>
      </c>
      <c r="K41" s="95">
        <v>1011.957305</v>
      </c>
      <c r="P41"/>
      <c r="Q41"/>
      <c r="S41" s="147"/>
    </row>
    <row r="42" spans="2:19" ht="18">
      <c r="B42" s="5" t="s">
        <v>82</v>
      </c>
      <c r="C42" s="5" t="s">
        <v>89</v>
      </c>
      <c r="F42" s="120">
        <f t="shared" si="0"/>
        <v>45809</v>
      </c>
      <c r="G42" s="95">
        <v>49055.173155441829</v>
      </c>
      <c r="I42" s="120">
        <f t="shared" si="1"/>
        <v>45809</v>
      </c>
      <c r="J42" s="95">
        <v>6543.8016949999992</v>
      </c>
      <c r="K42" s="95">
        <v>1321.0553049999999</v>
      </c>
      <c r="P42"/>
      <c r="Q42"/>
      <c r="S42" s="148"/>
    </row>
    <row r="43" spans="2:19" ht="18">
      <c r="F43" s="120">
        <f t="shared" si="0"/>
        <v>45839</v>
      </c>
      <c r="G43" s="95">
        <v>52412.361528128837</v>
      </c>
      <c r="I43" s="120">
        <f t="shared" si="1"/>
        <v>45839</v>
      </c>
      <c r="J43" s="95">
        <v>6743.8016949999992</v>
      </c>
      <c r="K43" s="95">
        <v>1995.683305</v>
      </c>
      <c r="P43"/>
      <c r="Q43"/>
      <c r="S43" s="149"/>
    </row>
    <row r="44" spans="2:19" ht="19.5">
      <c r="B44" s="135" t="s">
        <v>106</v>
      </c>
      <c r="C44" s="135" t="s">
        <v>117</v>
      </c>
      <c r="F44" s="120">
        <f t="shared" si="0"/>
        <v>45870</v>
      </c>
      <c r="G44" s="95">
        <v>50651.599232114422</v>
      </c>
      <c r="I44" s="120">
        <f t="shared" si="1"/>
        <v>45870</v>
      </c>
      <c r="J44" s="95">
        <v>7243.8016949999992</v>
      </c>
      <c r="K44" s="95">
        <v>1890.6253050000005</v>
      </c>
      <c r="P44"/>
      <c r="Q44"/>
      <c r="S44" s="150"/>
    </row>
    <row r="45" spans="2:19" ht="18">
      <c r="B45" s="157" t="s">
        <v>2</v>
      </c>
      <c r="C45" s="5">
        <v>30</v>
      </c>
      <c r="F45" s="120">
        <f t="shared" si="0"/>
        <v>45901</v>
      </c>
      <c r="G45" s="95">
        <v>49225.642832821737</v>
      </c>
      <c r="I45" s="120">
        <f t="shared" si="1"/>
        <v>45901</v>
      </c>
      <c r="J45" s="95">
        <v>7243.8016949999992</v>
      </c>
      <c r="K45" s="95">
        <v>1810.530305</v>
      </c>
      <c r="P45"/>
      <c r="Q45"/>
      <c r="S45" s="151"/>
    </row>
    <row r="46" spans="2:19" ht="18">
      <c r="B46" s="157" t="s">
        <v>11</v>
      </c>
      <c r="C46" s="5">
        <v>90</v>
      </c>
      <c r="F46" s="120">
        <f t="shared" si="0"/>
        <v>45931</v>
      </c>
      <c r="G46" s="95">
        <v>46540.856420462806</v>
      </c>
      <c r="I46" s="120">
        <f t="shared" si="1"/>
        <v>45931</v>
      </c>
      <c r="J46" s="95">
        <v>7343.8016949999992</v>
      </c>
      <c r="K46" s="95">
        <v>1658.0813049999997</v>
      </c>
      <c r="S46" s="152"/>
    </row>
    <row r="47" spans="2:19" ht="18">
      <c r="B47" s="157" t="s">
        <v>13</v>
      </c>
      <c r="C47" s="5">
        <v>150</v>
      </c>
      <c r="F47" s="120">
        <f t="shared" si="0"/>
        <v>45962</v>
      </c>
      <c r="G47" s="95">
        <v>47995.967754016092</v>
      </c>
      <c r="I47" s="120">
        <f t="shared" si="1"/>
        <v>45962</v>
      </c>
      <c r="J47" s="95">
        <v>7343.8016949999992</v>
      </c>
      <c r="K47" s="95">
        <v>1761.683305</v>
      </c>
      <c r="S47" s="153"/>
    </row>
    <row r="48" spans="2:19" ht="18">
      <c r="B48" s="157" t="s">
        <v>15</v>
      </c>
      <c r="C48" s="5">
        <v>180</v>
      </c>
      <c r="F48" s="120">
        <f t="shared" si="0"/>
        <v>45992</v>
      </c>
      <c r="G48" s="95">
        <v>73568.757089029925</v>
      </c>
      <c r="I48" s="120">
        <f t="shared" si="1"/>
        <v>45992</v>
      </c>
      <c r="J48" s="95">
        <v>7343.8016949999992</v>
      </c>
      <c r="K48" s="95">
        <v>2100.7993050000005</v>
      </c>
      <c r="S48" s="154"/>
    </row>
    <row r="49" spans="2:19" ht="18">
      <c r="B49" s="157" t="s">
        <v>17</v>
      </c>
      <c r="C49" s="5">
        <v>270</v>
      </c>
      <c r="F49" s="120">
        <f t="shared" si="0"/>
        <v>46023</v>
      </c>
      <c r="G49" s="95">
        <v>75274.895277522461</v>
      </c>
      <c r="I49" s="120">
        <f t="shared" si="1"/>
        <v>46023</v>
      </c>
      <c r="J49" s="95">
        <v>7343.8016949999992</v>
      </c>
      <c r="K49" s="95">
        <v>2336.3263049999996</v>
      </c>
      <c r="S49" s="156"/>
    </row>
    <row r="50" spans="2:19" ht="18">
      <c r="B50" s="157" t="s">
        <v>3</v>
      </c>
      <c r="C50" s="5">
        <v>360</v>
      </c>
      <c r="F50" s="120">
        <f t="shared" si="0"/>
        <v>46054</v>
      </c>
      <c r="G50" s="95">
        <v>76489.515360874575</v>
      </c>
      <c r="I50" s="120">
        <f t="shared" si="1"/>
        <v>46054</v>
      </c>
      <c r="J50" s="95">
        <v>7343.8016949999992</v>
      </c>
      <c r="K50" s="95">
        <v>1835.3923050000001</v>
      </c>
      <c r="S50" s="155"/>
    </row>
    <row r="51" spans="2:19" ht="18">
      <c r="B51" s="157" t="s">
        <v>18</v>
      </c>
      <c r="C51" s="5">
        <v>720</v>
      </c>
      <c r="F51" s="120">
        <f t="shared" si="0"/>
        <v>46082</v>
      </c>
      <c r="G51" s="95">
        <v>76858.985811737322</v>
      </c>
      <c r="I51" s="120">
        <f t="shared" si="1"/>
        <v>46082</v>
      </c>
      <c r="J51" s="95">
        <v>7343.8016949999992</v>
      </c>
      <c r="K51" s="95">
        <v>1868.7393050000001</v>
      </c>
      <c r="S51" s="155"/>
    </row>
    <row r="52" spans="2:19" ht="18">
      <c r="B52" s="157" t="s">
        <v>19</v>
      </c>
      <c r="C52" s="5">
        <v>1800</v>
      </c>
      <c r="F52" s="120">
        <f t="shared" si="0"/>
        <v>46113</v>
      </c>
      <c r="G52" s="95">
        <v>79437.958197844389</v>
      </c>
      <c r="I52" s="120">
        <f t="shared" si="1"/>
        <v>46113</v>
      </c>
      <c r="J52" s="95">
        <v>7343.8016949999992</v>
      </c>
      <c r="K52" s="95">
        <v>1868.7393050000001</v>
      </c>
    </row>
    <row r="53" spans="2:19" ht="18">
      <c r="B53" s="157" t="s">
        <v>108</v>
      </c>
      <c r="C53" s="5">
        <v>0</v>
      </c>
      <c r="F53" s="120">
        <f t="shared" si="0"/>
        <v>46143</v>
      </c>
      <c r="G53" s="95">
        <v>79437.958197844389</v>
      </c>
      <c r="I53" s="120">
        <f t="shared" si="1"/>
        <v>46143</v>
      </c>
      <c r="J53" s="95">
        <v>7343.8016949999992</v>
      </c>
      <c r="K53" s="95">
        <v>1868.7393050000001</v>
      </c>
    </row>
    <row r="54" spans="2:19" ht="18">
      <c r="F54" s="120">
        <f t="shared" si="0"/>
        <v>46174</v>
      </c>
      <c r="G54" s="95">
        <v>79437.958197844389</v>
      </c>
      <c r="I54" s="120">
        <f t="shared" si="1"/>
        <v>46174</v>
      </c>
      <c r="J54" s="95">
        <v>7343.8016949999992</v>
      </c>
      <c r="K54" s="95">
        <v>1868.7393050000001</v>
      </c>
    </row>
    <row r="55" spans="2:19" ht="19.5">
      <c r="B55" s="99" t="s">
        <v>0</v>
      </c>
      <c r="F55" s="120">
        <f t="shared" si="0"/>
        <v>46204</v>
      </c>
      <c r="G55" s="95">
        <f ca="1">SUM(dashboard!F18:F22)</f>
        <v>30104.441442499901</v>
      </c>
      <c r="I55" s="120">
        <f t="shared" si="1"/>
        <v>46204</v>
      </c>
      <c r="J55" s="95">
        <f>SUM(fund_certs[principal])</f>
        <v>7212.9690000000001</v>
      </c>
      <c r="K55" s="95">
        <f>SUM(fund_certs[interest])</f>
        <v>1229.4799999999998</v>
      </c>
    </row>
    <row r="56" spans="2:19" ht="18">
      <c r="B56" s="5" t="s">
        <v>124</v>
      </c>
    </row>
    <row r="57" spans="2:19" ht="18">
      <c r="B57" s="5" t="s">
        <v>125</v>
      </c>
    </row>
    <row r="58" spans="2:19" ht="18">
      <c r="B58" s="5" t="s">
        <v>68</v>
      </c>
    </row>
  </sheetData>
  <mergeCells count="1">
    <mergeCell ref="B2:D3"/>
  </mergeCells>
  <pageMargins left="0.7" right="0.7" top="0.75" bottom="0.75" header="0.3" footer="0.3"/>
  <pageSetup orientation="portrait" r:id="rId7"/>
  <tableParts count="6"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3FE56014-155A-481A-AC04-34BBCEE5A8C1}">
  <ds:schemaRefs/>
</ds:datastoreItem>
</file>

<file path=customXml/itemProps2.xml><?xml version="1.0" encoding="utf-8"?>
<ds:datastoreItem xmlns:ds="http://schemas.openxmlformats.org/officeDocument/2006/customXml" ds:itemID="{33804194-3DE6-4330-A572-0EA4F867796E}">
  <ds:schemaRefs/>
</ds:datastoreItem>
</file>

<file path=customXml/itemProps3.xml><?xml version="1.0" encoding="utf-8"?>
<ds:datastoreItem xmlns:ds="http://schemas.openxmlformats.org/officeDocument/2006/customXml" ds:itemID="{11377587-83CD-4B6D-8F92-2C6934A01459}">
  <ds:schemaRefs/>
</ds:datastoreItem>
</file>

<file path=customXml/itemProps4.xml><?xml version="1.0" encoding="utf-8"?>
<ds:datastoreItem xmlns:ds="http://schemas.openxmlformats.org/officeDocument/2006/customXml" ds:itemID="{ACB0B3CC-EEFE-48CD-A542-2E15D60F4E9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DAB40ED-8CD4-457A-8A95-5EFB05AA365A}">
  <ds:schemaRefs/>
</ds:datastoreItem>
</file>

<file path=customXml/itemProps6.xml><?xml version="1.0" encoding="utf-8"?>
<ds:datastoreItem xmlns:ds="http://schemas.openxmlformats.org/officeDocument/2006/customXml" ds:itemID="{78AC00B2-E877-45DE-B30C-346A2645B3AD}">
  <ds:schemaRefs/>
</ds:datastoreItem>
</file>

<file path=customXml/itemProps7.xml><?xml version="1.0" encoding="utf-8"?>
<ds:datastoreItem xmlns:ds="http://schemas.openxmlformats.org/officeDocument/2006/customXml" ds:itemID="{BBBFF6DF-96BA-4240-850A-34BB83ACEF53}">
  <ds:schemaRefs/>
</ds:datastoreItem>
</file>

<file path=customXml/itemProps8.xml><?xml version="1.0" encoding="utf-8"?>
<ds:datastoreItem xmlns:ds="http://schemas.openxmlformats.org/officeDocument/2006/customXml" ds:itemID="{D60EB840-12CC-4315-BBD5-55130D2A12DD}">
  <ds:schemaRefs/>
</ds:datastoreItem>
</file>

<file path=customXml/itemProps9.xml><?xml version="1.0" encoding="utf-8"?>
<ds:datastoreItem xmlns:ds="http://schemas.openxmlformats.org/officeDocument/2006/customXml" ds:itemID="{7B853AC2-84D5-40E1-B5D3-3391677F5E1B}">
  <ds:schemaRefs/>
</ds:datastoreItem>
</file>

<file path=customXml/itemProps10.xml><?xml version="1.0" encoding="utf-8"?>
<ds:datastoreItem xmlns:ds="http://schemas.openxmlformats.org/officeDocument/2006/customXml" ds:itemID="{5DAEA5FD-51E5-4B6A-B586-409C3C371703}">
  <ds:schemaRefs/>
</ds:datastoreItem>
</file>

<file path=customXml/itemProps11.xml><?xml version="1.0" encoding="utf-8"?>
<ds:datastoreItem xmlns:ds="http://schemas.openxmlformats.org/officeDocument/2006/customXml" ds:itemID="{B020A3AE-CB3E-447D-A57B-5314940BFFBF}">
  <ds:schemaRefs/>
</ds:datastoreItem>
</file>

<file path=customXml/itemProps12.xml><?xml version="1.0" encoding="utf-8"?>
<ds:datastoreItem xmlns:ds="http://schemas.openxmlformats.org/officeDocument/2006/customXml" ds:itemID="{FFC5FCC3-4298-4A89-B443-403DB243FFA1}">
  <ds:schemaRefs/>
</ds:datastoreItem>
</file>

<file path=customXml/itemProps13.xml><?xml version="1.0" encoding="utf-8"?>
<ds:datastoreItem xmlns:ds="http://schemas.openxmlformats.org/officeDocument/2006/customXml" ds:itemID="{E96BCCBE-1F84-4F2C-9C9A-D977E632D3DA}">
  <ds:schemaRefs/>
</ds:datastoreItem>
</file>

<file path=customXml/itemProps14.xml><?xml version="1.0" encoding="utf-8"?>
<ds:datastoreItem xmlns:ds="http://schemas.openxmlformats.org/officeDocument/2006/customXml" ds:itemID="{82203D0F-C062-47A8-830C-D46426E82A33}">
  <ds:schemaRefs/>
</ds:datastoreItem>
</file>

<file path=customXml/itemProps15.xml><?xml version="1.0" encoding="utf-8"?>
<ds:datastoreItem xmlns:ds="http://schemas.openxmlformats.org/officeDocument/2006/customXml" ds:itemID="{49A5A4C0-1EC7-4046-8904-CAF2DD4F6E13}">
  <ds:schemaRefs/>
</ds:datastoreItem>
</file>

<file path=customXml/itemProps16.xml><?xml version="1.0" encoding="utf-8"?>
<ds:datastoreItem xmlns:ds="http://schemas.openxmlformats.org/officeDocument/2006/customXml" ds:itemID="{E0DB74E5-83B8-4E3B-BD1C-58067D3EB2F8}">
  <ds:schemaRefs/>
</ds:datastoreItem>
</file>

<file path=customXml/itemProps17.xml><?xml version="1.0" encoding="utf-8"?>
<ds:datastoreItem xmlns:ds="http://schemas.openxmlformats.org/officeDocument/2006/customXml" ds:itemID="{196248BC-048C-4A52-8B55-D6E24548EB5A}">
  <ds:schemaRefs/>
</ds:datastoreItem>
</file>

<file path=customXml/itemProps18.xml><?xml version="1.0" encoding="utf-8"?>
<ds:datastoreItem xmlns:ds="http://schemas.openxmlformats.org/officeDocument/2006/customXml" ds:itemID="{A9C54293-4F6F-40FA-BBDD-7C49DB7973BD}">
  <ds:schemaRefs/>
</ds:datastoreItem>
</file>

<file path=customXml/itemProps19.xml><?xml version="1.0" encoding="utf-8"?>
<ds:datastoreItem xmlns:ds="http://schemas.openxmlformats.org/officeDocument/2006/customXml" ds:itemID="{23FA9DFD-88D4-428D-87F0-9D6441CA3DB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transactions</vt:lpstr>
      <vt:lpstr>debts</vt:lpstr>
      <vt:lpstr>finance</vt:lpstr>
      <vt:lpstr>database</vt:lpstr>
      <vt:lpstr>dashboard!Criteria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Mink Lee</dc:creator>
  <cp:keywords/>
  <dc:description/>
  <cp:lastModifiedBy>Minh Lee</cp:lastModifiedBy>
  <cp:revision/>
  <dcterms:created xsi:type="dcterms:W3CDTF">2022-08-02T03:02:19Z</dcterms:created>
  <dcterms:modified xsi:type="dcterms:W3CDTF">2026-08-20T07:43:16Z</dcterms:modified>
  <cp:category/>
  <cp:contentStatus/>
</cp:coreProperties>
</file>