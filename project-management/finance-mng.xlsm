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ersonal Files\repos\object-oriented-programming\project-management\"/>
    </mc:Choice>
  </mc:AlternateContent>
  <xr:revisionPtr revIDLastSave="0" documentId="13_ncr:1_{52BA6ADA-8C3D-45E1-B028-CBB4512014C7}" xr6:coauthVersionLast="47" xr6:coauthVersionMax="47" xr10:uidLastSave="{00000000-0000-0000-0000-000000000000}"/>
  <bookViews>
    <workbookView xWindow="-120" yWindow="-120" windowWidth="29040" windowHeight="16440" tabRatio="714" xr2:uid="{ABFC4047-2B0A-41DD-9D74-16CAFED06B90}"/>
  </bookViews>
  <sheets>
    <sheet name="dashboard" sheetId="27" r:id="rId1"/>
    <sheet name="transactions" sheetId="29" r:id="rId2"/>
    <sheet name="debts" sheetId="34" r:id="rId3"/>
    <sheet name="finance" sheetId="16" r:id="rId4"/>
    <sheet name="database" sheetId="33" r:id="rId5"/>
  </sheets>
  <definedNames>
    <definedName name="_xlnm._FilterDatabase" localSheetId="0" hidden="1">dashboard!$P$29:$T$42</definedName>
    <definedName name="_xlnm._FilterDatabase" localSheetId="3" hidden="1">finance!$B$2:$D$3</definedName>
    <definedName name="_xlnm._FilterDatabase" localSheetId="1" hidden="1">transactions!$B$19:$B$19</definedName>
    <definedName name="_xlcn.WorksheetConnection_Finance6.9.xlsxdebt" hidden="1">debt[]</definedName>
    <definedName name="_xlcn.WorksheetConnection_Finance6.9.xlsxfund_certs" hidden="1">fund_certs[]</definedName>
    <definedName name="_xlcn.WorksheetConnection_Finance6.9.xlsxtransactions" hidden="1">transactions[]</definedName>
    <definedName name="_xlcn.WorksheetConnection_Financialv1.1.xlsxSPT" localSheetId="3" hidden="1">#REF!</definedName>
    <definedName name="_xlcn.WorksheetConnection_Financialv1.1.xlsxSPT" hidden="1">#REF!</definedName>
    <definedName name="_xlcn.WorksheetConnection_Financialv1.1.xlsxSPT_8" localSheetId="3" hidden="1">#REF!</definedName>
    <definedName name="_xlcn.WorksheetConnection_Financialv1.1.xlsxSPT_8" hidden="1">#REF!</definedName>
    <definedName name="_xlcn.WorksheetConnection_Financialv1.1.xlsxTable8" localSheetId="3" hidden="1">#REF!</definedName>
    <definedName name="_xlcn.WorksheetConnection_Financialv1.1.xlsxTable8" hidden="1">#REF!</definedName>
    <definedName name="_xlnm.Criteria" localSheetId="0">dashboard!$P$30:$P$42</definedName>
  </definedNames>
  <calcPr calcId="191029"/>
  <pivotCaches>
    <pivotCache cacheId="167" r:id="rId6"/>
    <pivotCache cacheId="179" r:id="rId7"/>
    <pivotCache cacheId="303" r:id="rId8"/>
    <pivotCache cacheId="408" r:id="rId9"/>
    <pivotCache cacheId="411" r:id="rId10"/>
    <pivotCache cacheId="414" r:id="rId11"/>
    <pivotCache cacheId="417" r:id="rId12"/>
    <pivotCache cacheId="420" r:id="rId13"/>
    <pivotCache cacheId="423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nsactions" name="transactions" connection="WorksheetConnection_Finance 6.9.xlsx!transactions"/>
          <x15:modelTable id="fund_certs" name="fund_certs" connection="WorksheetConnection_Finance 6.9.xlsx!fund_certs"/>
          <x15:modelTable id="debt" name="debt" connection="WorksheetConnection_Finance 6.9.xlsx!deb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33" l="1"/>
  <c r="I8" i="33" s="1"/>
  <c r="F7" i="33"/>
  <c r="F8" i="33" s="1"/>
  <c r="B15" i="34"/>
  <c r="C8" i="29"/>
  <c r="C9" i="29"/>
  <c r="J8" i="33"/>
  <c r="B21" i="29"/>
  <c r="P42" i="27" l="1"/>
  <c r="P41" i="27" s="1"/>
  <c r="P40" i="27" s="1"/>
  <c r="P39" i="27" s="1"/>
  <c r="P38" i="27" s="1"/>
  <c r="P37" i="27" s="1"/>
  <c r="P36" i="27" s="1"/>
  <c r="P35" i="27" s="1"/>
  <c r="P34" i="27" s="1"/>
  <c r="P33" i="27" s="1"/>
  <c r="P32" i="27" s="1"/>
  <c r="P31" i="27" s="1"/>
  <c r="Q31" i="27" s="1"/>
  <c r="P30" i="27" l="1"/>
  <c r="Q30" i="27" s="1"/>
  <c r="R42" i="27"/>
  <c r="R41" i="27"/>
  <c r="R39" i="27"/>
  <c r="R38" i="27"/>
  <c r="Q42" i="27"/>
  <c r="R37" i="27"/>
  <c r="Q41" i="27"/>
  <c r="R40" i="27"/>
  <c r="R36" i="27"/>
  <c r="Q40" i="27"/>
  <c r="R35" i="27"/>
  <c r="Q39" i="27"/>
  <c r="R34" i="27"/>
  <c r="Q38" i="27"/>
  <c r="R33" i="27"/>
  <c r="Q37" i="27"/>
  <c r="R32" i="27"/>
  <c r="Q36" i="27"/>
  <c r="R31" i="27"/>
  <c r="S31" i="27" s="1"/>
  <c r="Q35" i="27"/>
  <c r="Q34" i="27"/>
  <c r="Q33" i="27"/>
  <c r="Q32" i="27"/>
  <c r="H43" i="16"/>
  <c r="F22" i="27"/>
  <c r="F21" i="27"/>
  <c r="E2" i="34"/>
  <c r="E3" i="34"/>
  <c r="R30" i="27" l="1"/>
  <c r="T30" i="27" s="1"/>
  <c r="S42" i="27"/>
  <c r="T42" i="27"/>
  <c r="S34" i="27"/>
  <c r="T34" i="27"/>
  <c r="S35" i="27"/>
  <c r="T35" i="27"/>
  <c r="T36" i="27"/>
  <c r="S36" i="27"/>
  <c r="S41" i="27"/>
  <c r="T41" i="27"/>
  <c r="S37" i="27"/>
  <c r="T37" i="27"/>
  <c r="T38" i="27"/>
  <c r="S38" i="27"/>
  <c r="T39" i="27"/>
  <c r="S39" i="27"/>
  <c r="S32" i="27"/>
  <c r="T32" i="27"/>
  <c r="T40" i="27"/>
  <c r="S40" i="27"/>
  <c r="T31" i="27"/>
  <c r="T33" i="27"/>
  <c r="S33" i="27"/>
  <c r="H48" i="16"/>
  <c r="I43" i="16"/>
  <c r="C10" i="29"/>
  <c r="C7" i="29"/>
  <c r="C12" i="29"/>
  <c r="C11" i="29"/>
  <c r="D9" i="29" l="1"/>
  <c r="K8" i="33"/>
  <c r="S30" i="27"/>
  <c r="C8" i="16"/>
  <c r="G43" i="16"/>
  <c r="E7" i="16" s="1"/>
  <c r="C44" i="16"/>
  <c r="C7" i="16"/>
  <c r="G7" i="16"/>
  <c r="G8" i="16"/>
  <c r="C9" i="16"/>
  <c r="C10" i="16"/>
  <c r="G10" i="16"/>
  <c r="F48" i="16"/>
  <c r="G48" i="16" s="1"/>
  <c r="E49" i="16"/>
  <c r="E10" i="16"/>
  <c r="G9" i="16"/>
  <c r="I49" i="16"/>
  <c r="F20" i="27" l="1"/>
  <c r="D44" i="16"/>
  <c r="C19" i="16"/>
  <c r="D18" i="16" s="1"/>
  <c r="I10" i="16"/>
  <c r="E8" i="16"/>
  <c r="I7" i="16"/>
  <c r="K7" i="16" s="1"/>
  <c r="H10" i="16" l="1"/>
  <c r="K10" i="16"/>
  <c r="D10" i="16"/>
  <c r="F10" i="16"/>
  <c r="D7" i="16"/>
  <c r="H7" i="16"/>
  <c r="I8" i="16"/>
  <c r="F7" i="16"/>
  <c r="M19" i="27" s="1"/>
  <c r="E9" i="16"/>
  <c r="M22" i="27"/>
  <c r="D16" i="16"/>
  <c r="D17" i="16"/>
  <c r="D15" i="16"/>
  <c r="D8" i="29"/>
  <c r="D12" i="29"/>
  <c r="D11" i="29"/>
  <c r="C13" i="29"/>
  <c r="F18" i="27" s="1"/>
  <c r="D7" i="29"/>
  <c r="D10" i="29"/>
  <c r="L7" i="27" l="1" a="1"/>
  <c r="F8" i="16"/>
  <c r="M20" i="27" s="1"/>
  <c r="K8" i="16"/>
  <c r="D8" i="16"/>
  <c r="H8" i="16"/>
  <c r="I9" i="16"/>
  <c r="K9" i="16" s="1"/>
  <c r="I44" i="16"/>
  <c r="F19" i="27" s="1"/>
  <c r="G8" i="33" s="1"/>
  <c r="D19" i="16"/>
  <c r="D13" i="29"/>
  <c r="M13" i="27" l="1"/>
  <c r="N13" i="27"/>
  <c r="L7" i="27"/>
  <c r="F23" i="27"/>
  <c r="D9" i="16"/>
  <c r="H9" i="16"/>
  <c r="F9" i="16"/>
  <c r="M21" i="27" s="1"/>
  <c r="I11" i="16"/>
  <c r="G23" i="27" l="1"/>
  <c r="M23" i="27"/>
  <c r="G18" i="27" l="1"/>
  <c r="G22" i="27"/>
  <c r="G21" i="27"/>
  <c r="G20" i="27"/>
  <c r="G19" i="27"/>
  <c r="N22" i="27"/>
  <c r="N21" i="27"/>
  <c r="N19" i="27"/>
  <c r="N20" i="27"/>
  <c r="N23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3000000}" keepAlive="1" name="Query - Budget" description="Connection to the 'Budget' query in the workbook." type="5" refreshedVersion="8" background="1" saveData="1">
    <dbPr connection="Provider=Microsoft.Mashup.OleDb.1;Data Source=$Workbook$;Location=Budget;Extended Properties=&quot;&quot;" command="SELECT * FROM [Budget]"/>
  </connection>
  <connection id="2" xr16:uid="{00000000-0015-0000-FFFF-FFFF04000000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3" xr16:uid="{00000000-0015-0000-FFFF-FFFF05000000}" keepAlive="1" name="Query - Transaction_Tracking" description="Connection to the 'Transaction_Tracking' query in the workbook." type="5" refreshedVersion="8" background="1" saveData="1">
    <dbPr connection="Provider=Microsoft.Mashup.OleDb.1;Data Source=$Workbook$;Location=Transaction_Tracking;Extended Properties=&quot;&quot;" command="SELECT * FROM [Transaction_Tracking]"/>
  </connection>
  <connection id="4" xr16:uid="{FB633591-A318-4312-A8F1-2B4E54DE788C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D9EDCE39-B371-44EA-AA0F-7BD26DEF949F}" name="WorksheetConnection_Finance 6.9.xlsx!debt" type="102" refreshedVersion="8" minRefreshableVersion="5">
    <extLst>
      <ext xmlns:x15="http://schemas.microsoft.com/office/spreadsheetml/2010/11/main" uri="{DE250136-89BD-433C-8126-D09CA5730AF9}">
        <x15:connection id="debt" autoDelete="1">
          <x15:rangePr sourceName="_xlcn.WorksheetConnection_Finance6.9.xlsxdebt"/>
        </x15:connection>
      </ext>
    </extLst>
  </connection>
  <connection id="6" xr16:uid="{70F5C0C1-17FA-493C-8A1A-D0BFA769F0BC}" name="WorksheetConnection_Finance 6.9.xlsx!fund_certs" type="102" refreshedVersion="8" minRefreshableVersion="5">
    <extLst>
      <ext xmlns:x15="http://schemas.microsoft.com/office/spreadsheetml/2010/11/main" uri="{DE250136-89BD-433C-8126-D09CA5730AF9}">
        <x15:connection id="fund_certs">
          <x15:rangePr sourceName="_xlcn.WorksheetConnection_Finance6.9.xlsxfund_certs"/>
        </x15:connection>
      </ext>
    </extLst>
  </connection>
  <connection id="7" xr16:uid="{4F925B0B-52F4-48AC-BC95-2338F3AA9552}" name="WorksheetConnection_Finance 6.9.xlsx!transactions" type="102" refreshedVersion="8" minRefreshableVersion="5">
    <extLst>
      <ext xmlns:x15="http://schemas.microsoft.com/office/spreadsheetml/2010/11/main" uri="{DE250136-89BD-433C-8126-D09CA5730AF9}">
        <x15:connection id="transactions">
          <x15:rangePr sourceName="_xlcn.WorksheetConnection_Finance6.9.xlsxtransaction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6">
    <s v="ThisWorkbookDataModel"/>
    <s v="{[transactions].[type].&amp;[income]}"/>
    <s v="{[transactions].[this month].&amp;[True]}"/>
    <s v="{[transactions].[type].&amp;[expense]}"/>
    <s v="{[transactions].[this month].[All]}"/>
    <s v="{[transactions].[type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5">
    <bk>
      <rc t="2" v="0"/>
    </bk>
    <bk>
      <rc t="2" v="1"/>
    </bk>
    <bk>
      <rc t="2" v="2"/>
    </bk>
    <bk>
      <rc t="2" v="3"/>
    </bk>
    <bk>
      <rc t="2" v="4"/>
    </bk>
  </valueMetadata>
</metadata>
</file>

<file path=xl/sharedStrings.xml><?xml version="1.0" encoding="utf-8"?>
<sst xmlns="http://schemas.openxmlformats.org/spreadsheetml/2006/main" count="315" uniqueCount="144">
  <si>
    <t>Type</t>
  </si>
  <si>
    <t>Total</t>
  </si>
  <si>
    <t>1 tháng</t>
  </si>
  <si>
    <t>1 năm</t>
  </si>
  <si>
    <t>DCDS</t>
  </si>
  <si>
    <t>Coral Blush Serif</t>
  </si>
  <si>
    <t>DFVN CALATHEA</t>
  </si>
  <si>
    <t>Cascadia Mono SemiBold</t>
  </si>
  <si>
    <t>3 tháng</t>
  </si>
  <si>
    <t>SVN-Sansation</t>
  </si>
  <si>
    <t>5 tháng</t>
  </si>
  <si>
    <t>Montserrat Light</t>
  </si>
  <si>
    <t>6 tháng</t>
  </si>
  <si>
    <t>Raleway ExtraLight</t>
  </si>
  <si>
    <t>9 tháng</t>
  </si>
  <si>
    <t>2 năm</t>
  </si>
  <si>
    <t>5 năm</t>
  </si>
  <si>
    <t>Font List</t>
  </si>
  <si>
    <t>D A S H B O A R D</t>
  </si>
  <si>
    <t>Row Labels</t>
  </si>
  <si>
    <t>Grand Total</t>
  </si>
  <si>
    <t>date</t>
  </si>
  <si>
    <t>amount</t>
  </si>
  <si>
    <t>wallet</t>
  </si>
  <si>
    <t>type</t>
  </si>
  <si>
    <t>category</t>
  </si>
  <si>
    <t>group</t>
  </si>
  <si>
    <t>income</t>
  </si>
  <si>
    <t>employment</t>
  </si>
  <si>
    <t>assets</t>
  </si>
  <si>
    <t>other</t>
  </si>
  <si>
    <t>essentials</t>
  </si>
  <si>
    <t>base salary &amp; allowances</t>
  </si>
  <si>
    <t>bonus &amp; commission</t>
  </si>
  <si>
    <t>side income</t>
  </si>
  <si>
    <t>interest &amp; bonds</t>
  </si>
  <si>
    <t>dividends &amp; profits</t>
  </si>
  <si>
    <t>property rental</t>
  </si>
  <si>
    <t>gifts &amp; inheritance</t>
  </si>
  <si>
    <t>asset liquidation</t>
  </si>
  <si>
    <t>other windfalls</t>
  </si>
  <si>
    <t>housing</t>
  </si>
  <si>
    <t>utilities</t>
  </si>
  <si>
    <t>food &amp; groceries</t>
  </si>
  <si>
    <t>basic transit</t>
  </si>
  <si>
    <t>healthcare</t>
  </si>
  <si>
    <t>personal &amp; leisure</t>
  </si>
  <si>
    <t>dining out</t>
  </si>
  <si>
    <t>personal shopping</t>
  </si>
  <si>
    <t>entertainment &amp; hobbies</t>
  </si>
  <si>
    <t>travel &amp; vacation</t>
  </si>
  <si>
    <t>obligations &amp; transfers</t>
  </si>
  <si>
    <t>debt repayment</t>
  </si>
  <si>
    <t>taxes &amp; fees</t>
  </si>
  <si>
    <t>family &amp; relations</t>
  </si>
  <si>
    <t>religion &amp; charity</t>
  </si>
  <si>
    <t>savings &amp; investing</t>
  </si>
  <si>
    <t>emergency fund</t>
  </si>
  <si>
    <t>investments</t>
  </si>
  <si>
    <t>transactions</t>
  </si>
  <si>
    <t>wallets</t>
  </si>
  <si>
    <t>balance</t>
  </si>
  <si>
    <t>rate</t>
  </si>
  <si>
    <t>t r a n s a c t i o n s</t>
  </si>
  <si>
    <t>transfers</t>
  </si>
  <si>
    <t>from</t>
  </si>
  <si>
    <t>to</t>
  </si>
  <si>
    <t>batch</t>
  </si>
  <si>
    <t>person</t>
  </si>
  <si>
    <t>note</t>
  </si>
  <si>
    <t>lend</t>
  </si>
  <si>
    <t>borrow</t>
  </si>
  <si>
    <t>collect</t>
  </si>
  <si>
    <t>repay</t>
  </si>
  <si>
    <t>write-off lend</t>
  </si>
  <si>
    <t>write-off borrow</t>
  </si>
  <si>
    <t>description</t>
  </si>
  <si>
    <t>cho vay</t>
  </si>
  <si>
    <t>đi vay</t>
  </si>
  <si>
    <t>thu nợ</t>
  </si>
  <si>
    <t>trả nợ</t>
  </si>
  <si>
    <t>xóa nợ vay</t>
  </si>
  <si>
    <t>được xóa nợ</t>
  </si>
  <si>
    <t>debt management</t>
  </si>
  <si>
    <t>d e b t s</t>
  </si>
  <si>
    <t>accounts statement</t>
  </si>
  <si>
    <t>funds</t>
  </si>
  <si>
    <t>fund</t>
  </si>
  <si>
    <t>cash</t>
  </si>
  <si>
    <t>saving</t>
  </si>
  <si>
    <t>fund certificates</t>
  </si>
  <si>
    <t>total</t>
  </si>
  <si>
    <t>target</t>
  </si>
  <si>
    <t>process</t>
  </si>
  <si>
    <t>funds cash</t>
  </si>
  <si>
    <t>f i n a n c e</t>
  </si>
  <si>
    <t>savings</t>
  </si>
  <si>
    <t>capital</t>
  </si>
  <si>
    <t>principal</t>
  </si>
  <si>
    <t>term</t>
  </si>
  <si>
    <t>start</t>
  </si>
  <si>
    <t>unlimited</t>
  </si>
  <si>
    <t>emergency</t>
  </si>
  <si>
    <t>health</t>
  </si>
  <si>
    <t>retirement</t>
  </si>
  <si>
    <t>name</t>
  </si>
  <si>
    <t>interest</t>
  </si>
  <si>
    <t>payable</t>
  </si>
  <si>
    <t>reveivable</t>
  </si>
  <si>
    <t>receivable</t>
  </si>
  <si>
    <t>days</t>
  </si>
  <si>
    <t>expense</t>
  </si>
  <si>
    <t>month</t>
  </si>
  <si>
    <t>cash flow</t>
  </si>
  <si>
    <t>savings rate</t>
  </si>
  <si>
    <t>this month</t>
  </si>
  <si>
    <t>TRUE</t>
  </si>
  <si>
    <t>stock</t>
  </si>
  <si>
    <t>bond</t>
  </si>
  <si>
    <t>months statistics</t>
  </si>
  <si>
    <t>months</t>
  </si>
  <si>
    <t>assest total</t>
  </si>
  <si>
    <t>type of fund</t>
  </si>
  <si>
    <t>fund performance</t>
  </si>
  <si>
    <t>acount</t>
  </si>
  <si>
    <t>%cash</t>
  </si>
  <si>
    <t>%saving</t>
  </si>
  <si>
    <t>%fund cert</t>
  </si>
  <si>
    <t>fund cert</t>
  </si>
  <si>
    <t>repairs &amp; maintenance</t>
  </si>
  <si>
    <t>durable goods</t>
  </si>
  <si>
    <t>classification</t>
  </si>
  <si>
    <t>d a t a b a s e</t>
  </si>
  <si>
    <t>%balance</t>
  </si>
  <si>
    <t>reimbursement</t>
  </si>
  <si>
    <t>family allowance</t>
  </si>
  <si>
    <t>timo</t>
  </si>
  <si>
    <t>mb bank</t>
  </si>
  <si>
    <t>vietcombank</t>
  </si>
  <si>
    <t>msb</t>
  </si>
  <si>
    <t>shopee pay</t>
  </si>
  <si>
    <t>idk</t>
  </si>
  <si>
    <t>A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</si>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</sst>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4" formatCode="_-* #,##0.00\ &quot;₫&quot;_-;\-* #,##0.00\ &quot;₫&quot;_-;_-* &quot;-&quot;??\ &quot;₫&quot;_-;_-@_-"/>
    <numFmt numFmtId="164" formatCode="0.000%"/>
    <numFmt numFmtId="165" formatCode="0.0%"/>
    <numFmt numFmtId="166" formatCode="\ #\ ##0.000\ [$VND]"/>
    <numFmt numFmtId="167" formatCode="[$-1010409]dd\ mmm\ yy;@"/>
    <numFmt numFmtId="168" formatCode="#,##0.000\ &quot;₫&quot;"/>
    <numFmt numFmtId="169" formatCode="[$-1010409]mmm\ yy"/>
    <numFmt numFmtId="170" formatCode="[$-1010409]dd\ mmm\ yy"/>
    <numFmt numFmtId="171" formatCode="[$-1010409]mmm"/>
    <numFmt numFmtId="172" formatCode="_-* #,##0.000\ &quot;₫&quot;_-;\-* #,##0.000\ &quot;₫&quot;_-;_-* &quot;-&quot;???\ &quot;₫&quot;_-;_-@_-"/>
    <numFmt numFmtId="173" formatCode="_-* #,##0.000\ &quot;₫&quot;_-;\-* #,##0.000\ &quot;₫&quot;_-;_-* &quot;-&quot;??\ &quot;₫&quot;_-;_-@_-"/>
    <numFmt numFmtId="174" formatCode="[$-1010409]mmm\ yyyy"/>
    <numFmt numFmtId="175" formatCode="_-* 0.00%;\-* 0.00%;_-* &quot;-&quot;?%"/>
  </numFmts>
  <fonts count="32">
    <font>
      <sz val="11"/>
      <color theme="0"/>
      <name val="Montserrat"/>
    </font>
    <font>
      <sz val="11"/>
      <color theme="0"/>
      <name val="Arial"/>
      <family val="2"/>
      <scheme val="minor"/>
    </font>
    <font>
      <b/>
      <sz val="11"/>
      <color rgb="FFFFFFFF"/>
      <name val="Coral Blush Serif"/>
      <family val="3"/>
    </font>
    <font>
      <sz val="11"/>
      <color rgb="FFFFFFFF"/>
      <name val="Kozuka Mincho Pro B"/>
      <family val="1"/>
      <charset val="128"/>
    </font>
    <font>
      <sz val="11"/>
      <color rgb="FFFFFFFF"/>
      <name val="Montserrat Light"/>
    </font>
    <font>
      <sz val="11"/>
      <color rgb="FFFFFFFF"/>
      <name val="Raleway ExtraLight"/>
    </font>
    <font>
      <sz val="11"/>
      <color rgb="FFFFFFFF"/>
      <name val="SVN-Sansation"/>
      <family val="1"/>
    </font>
    <font>
      <sz val="24"/>
      <color theme="0"/>
      <name val="Coral Blush Serif"/>
      <family val="3"/>
    </font>
    <font>
      <sz val="8"/>
      <name val="Arial"/>
      <family val="2"/>
      <scheme val="minor"/>
    </font>
    <font>
      <sz val="11"/>
      <color theme="0"/>
      <name val="Montserrat Light"/>
    </font>
    <font>
      <sz val="11"/>
      <color theme="1"/>
      <name val="Arial"/>
      <family val="2"/>
      <scheme val="minor"/>
    </font>
    <font>
      <sz val="11"/>
      <color theme="0"/>
      <name val="Cascadia Mono SemiBold"/>
      <family val="3"/>
    </font>
    <font>
      <sz val="14"/>
      <color rgb="FFFFFFFF"/>
      <name val="DFVN CALATHEA"/>
      <family val="3"/>
    </font>
    <font>
      <sz val="10"/>
      <color theme="0"/>
      <name val="Montserrat Light"/>
    </font>
    <font>
      <b/>
      <sz val="11"/>
      <color theme="0"/>
      <name val="SVN-Sansation"/>
      <family val="1"/>
    </font>
    <font>
      <b/>
      <sz val="11"/>
      <name val="SVN-Sansation"/>
      <family val="1"/>
    </font>
    <font>
      <b/>
      <sz val="11"/>
      <color theme="1"/>
      <name val="SVN-Sansation"/>
      <family val="1"/>
    </font>
    <font>
      <b/>
      <sz val="10"/>
      <color rgb="FF3D325D"/>
      <name val="SVN-Sansation"/>
      <family val="1"/>
    </font>
    <font>
      <b/>
      <sz val="10"/>
      <color theme="0"/>
      <name val="SVN-Sansation"/>
      <family val="1"/>
    </font>
    <font>
      <b/>
      <sz val="11"/>
      <color rgb="FF7DE37F"/>
      <name val="SVN-Sansation"/>
      <family val="1"/>
    </font>
    <font>
      <b/>
      <sz val="11"/>
      <color rgb="FFFFFFFF"/>
      <name val="SVN-Sansation"/>
      <family val="1"/>
    </font>
    <font>
      <b/>
      <sz val="11"/>
      <color theme="1"/>
      <name val="Cascadia Mono SemiBold"/>
      <family val="3"/>
    </font>
    <font>
      <b/>
      <sz val="11"/>
      <color rgb="FFF2B5D4"/>
      <name val="SVN-Sansation"/>
      <family val="1"/>
    </font>
    <font>
      <b/>
      <sz val="11"/>
      <color theme="1"/>
      <name val="SVN-Sansation"/>
      <family val="1"/>
      <charset val="163"/>
    </font>
    <font>
      <b/>
      <sz val="11"/>
      <color theme="0"/>
      <name val="SVN-Sansation"/>
      <family val="1"/>
      <charset val="163"/>
    </font>
    <font>
      <b/>
      <sz val="11"/>
      <color theme="0"/>
      <name val="Montserrat Light"/>
    </font>
    <font>
      <sz val="11"/>
      <color rgb="FFF2B5D4"/>
      <name val="SVN-Sansation"/>
      <family val="1"/>
    </font>
    <font>
      <b/>
      <sz val="14"/>
      <color theme="1"/>
      <name val="Cascadia Mono SemiBold"/>
      <family val="3"/>
    </font>
    <font>
      <b/>
      <sz val="10"/>
      <color rgb="FF000000"/>
      <name val="SVN-Sansation"/>
      <family val="1"/>
    </font>
    <font>
      <b/>
      <sz val="11"/>
      <color rgb="FF4B433B"/>
      <name val="SVN-Sansation"/>
      <family val="1"/>
    </font>
    <font>
      <i/>
      <sz val="10"/>
      <color theme="2" tint="-0.249977111117893"/>
      <name val="Montserrat Light"/>
    </font>
    <font>
      <sz val="11"/>
      <color theme="0"/>
      <name val="Montserrat Light"/>
      <charset val="163"/>
    </font>
  </fonts>
  <fills count="4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BDFF2"/>
        <bgColor indexed="64"/>
      </patternFill>
    </fill>
    <fill>
      <patternFill patternType="solid">
        <fgColor rgb="FFB2F7EF"/>
        <bgColor indexed="64"/>
      </patternFill>
    </fill>
    <fill>
      <patternFill patternType="solid">
        <fgColor rgb="FFEFF7F6"/>
        <bgColor indexed="64"/>
      </patternFill>
    </fill>
    <fill>
      <patternFill patternType="solid">
        <fgColor rgb="FFF7D6E0"/>
        <bgColor indexed="64"/>
      </patternFill>
    </fill>
    <fill>
      <patternFill patternType="solid">
        <fgColor rgb="FFF2B5D4"/>
        <bgColor indexed="64"/>
      </patternFill>
    </fill>
    <fill>
      <patternFill patternType="solid">
        <fgColor rgb="FFBEADFA"/>
        <bgColor indexed="64"/>
      </patternFill>
    </fill>
    <fill>
      <patternFill patternType="solid">
        <fgColor rgb="FFCEC1FB"/>
        <bgColor indexed="64"/>
      </patternFill>
    </fill>
    <fill>
      <patternFill patternType="solid">
        <fgColor rgb="FFDED6FD"/>
        <bgColor indexed="64"/>
      </patternFill>
    </fill>
    <fill>
      <patternFill patternType="solid">
        <fgColor rgb="FFEEEAFE"/>
        <bgColor indexed="64"/>
      </patternFill>
    </fill>
    <fill>
      <patternFill patternType="solid">
        <fgColor rgb="FFFEFEFF"/>
        <bgColor indexed="64"/>
      </patternFill>
    </fill>
    <fill>
      <patternFill patternType="solid">
        <fgColor rgb="FFD4487A"/>
        <bgColor indexed="64"/>
      </patternFill>
    </fill>
    <fill>
      <patternFill patternType="solid">
        <fgColor rgb="FFE1C7E4"/>
        <bgColor indexed="64"/>
      </patternFill>
    </fill>
    <fill>
      <patternFill patternType="solid">
        <fgColor rgb="FFEAD1E4"/>
        <bgColor indexed="64"/>
      </patternFill>
    </fill>
    <fill>
      <patternFill patternType="solid">
        <fgColor rgb="FFF3DEE3"/>
        <bgColor indexed="64"/>
      </patternFill>
    </fill>
    <fill>
      <patternFill patternType="solid">
        <fgColor rgb="FFFFEDE3"/>
        <bgColor indexed="64"/>
      </patternFill>
    </fill>
    <fill>
      <patternFill patternType="solid">
        <fgColor rgb="FFE9D8F9"/>
        <bgColor indexed="64"/>
      </patternFill>
    </fill>
    <fill>
      <patternFill patternType="solid">
        <fgColor rgb="FF907375"/>
        <bgColor indexed="64"/>
      </patternFill>
    </fill>
    <fill>
      <patternFill patternType="solid">
        <fgColor rgb="FF303634"/>
        <bgColor indexed="64"/>
      </patternFill>
    </fill>
    <fill>
      <patternFill patternType="solid">
        <fgColor rgb="FFDCD6D8"/>
        <bgColor indexed="64"/>
      </patternFill>
    </fill>
    <fill>
      <patternFill patternType="solid">
        <fgColor rgb="FF6B594D"/>
        <bgColor indexed="64"/>
      </patternFill>
    </fill>
    <fill>
      <patternFill patternType="solid">
        <fgColor rgb="FFD5C0BF"/>
        <bgColor indexed="64"/>
      </patternFill>
    </fill>
    <fill>
      <patternFill patternType="solid">
        <fgColor rgb="FF3F357E"/>
        <bgColor indexed="64"/>
      </patternFill>
    </fill>
    <fill>
      <patternFill patternType="solid">
        <fgColor rgb="FF5F52A3"/>
        <bgColor indexed="64"/>
      </patternFill>
    </fill>
    <fill>
      <patternFill patternType="solid">
        <fgColor rgb="FF7F70C8"/>
        <bgColor indexed="64"/>
      </patternFill>
    </fill>
    <fill>
      <patternFill patternType="solid">
        <fgColor rgb="FF9E8EEB"/>
        <bgColor indexed="64"/>
      </patternFill>
    </fill>
    <fill>
      <patternFill patternType="solid">
        <fgColor rgb="FFCFC5FC"/>
        <bgColor indexed="64"/>
      </patternFill>
    </fill>
    <fill>
      <patternFill patternType="solid">
        <fgColor rgb="FFDFD9FD"/>
        <bgColor indexed="64"/>
      </patternFill>
    </fill>
    <fill>
      <patternFill patternType="solid">
        <fgColor rgb="FFEAE6F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2FF"/>
        <bgColor indexed="64"/>
      </patternFill>
    </fill>
    <fill>
      <patternFill patternType="solid">
        <bgColor rgb="FFF5FFFA"/>
      </patternFill>
    </fill>
    <fill>
      <patternFill patternType="solid">
        <fgColor rgb="FF000000"/>
        <bgColor rgb="FF000000"/>
      </patternFill>
    </fill>
    <fill>
      <patternFill patternType="solid">
        <fgColor rgb="FFF0A8CC"/>
        <bgColor indexed="64"/>
      </patternFill>
    </fill>
    <fill>
      <patternFill patternType="solid">
        <fgColor rgb="FFAD1F66"/>
        <bgColor indexed="64"/>
      </patternFill>
    </fill>
    <fill>
      <patternFill patternType="solid">
        <fgColor rgb="FFE05299"/>
        <bgColor indexed="64"/>
      </patternFill>
    </fill>
    <fill>
      <patternFill patternType="solid">
        <fgColor rgb="FFFBE9F2"/>
        <bgColor indexed="64"/>
      </patternFill>
    </fill>
    <fill>
      <patternFill patternType="solid">
        <fgColor rgb="FFF7D4E6"/>
        <bgColor indexed="64"/>
      </patternFill>
    </fill>
    <fill>
      <patternFill patternType="solid">
        <fgColor rgb="FFE87DB3"/>
        <bgColor indexed="64"/>
      </patternFill>
    </fill>
    <fill>
      <patternFill patternType="solid">
        <fgColor rgb="FFD92680"/>
        <bgColor indexed="64"/>
      </patternFill>
    </fill>
    <fill>
      <patternFill patternType="solid">
        <fgColor theme="1"/>
        <bgColor rgb="FF000000"/>
      </patternFill>
    </fill>
  </fills>
  <borders count="20">
    <border>
      <left/>
      <right/>
      <top/>
      <bottom/>
      <diagonal/>
    </border>
    <border>
      <left/>
      <right/>
      <top/>
      <bottom style="thin">
        <color rgb="FFF2B5D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rgb="FFF2B5D4"/>
      </right>
      <top/>
      <bottom style="thin">
        <color rgb="FFF2B5D4"/>
      </bottom>
      <diagonal/>
    </border>
    <border>
      <left style="thin">
        <color rgb="FFF2B5D4"/>
      </left>
      <right style="thin">
        <color rgb="FFF2B5D4"/>
      </right>
      <top/>
      <bottom style="thin">
        <color rgb="FFF2B5D4"/>
      </bottom>
      <diagonal/>
    </border>
    <border>
      <left style="thin">
        <color rgb="FFF2B5D4"/>
      </left>
      <right/>
      <top style="thin">
        <color rgb="FFF2B5D4"/>
      </top>
      <bottom/>
      <diagonal/>
    </border>
    <border>
      <left/>
      <right/>
      <top style="thin">
        <color rgb="FFF2B5D4"/>
      </top>
      <bottom/>
      <diagonal/>
    </border>
    <border>
      <left/>
      <right style="thin">
        <color rgb="FFF2B5D4"/>
      </right>
      <top style="thin">
        <color rgb="FFF2B5D4"/>
      </top>
      <bottom/>
      <diagonal/>
    </border>
    <border>
      <left style="thin">
        <color rgb="FFF2B5D4"/>
      </left>
      <right/>
      <top/>
      <bottom/>
      <diagonal/>
    </border>
    <border>
      <left/>
      <right style="thin">
        <color rgb="FFF2B5D4"/>
      </right>
      <top/>
      <bottom/>
      <diagonal/>
    </border>
    <border>
      <left style="thin">
        <color rgb="FFF2B5D4"/>
      </left>
      <right/>
      <top/>
      <bottom style="thin">
        <color rgb="FFF2B5D4"/>
      </bottom>
      <diagonal/>
    </border>
    <border>
      <left style="thin">
        <color rgb="FFF2B5D4"/>
      </left>
      <right style="thin">
        <color rgb="FFF2B5D4"/>
      </right>
      <top style="thin">
        <color rgb="FFF2B5D4"/>
      </top>
      <bottom/>
      <diagonal/>
    </border>
    <border>
      <left style="thin">
        <color rgb="FFF2B5D4"/>
      </left>
      <right style="thin">
        <color rgb="FFF2B5D4"/>
      </right>
      <top/>
      <bottom/>
      <diagonal/>
    </border>
  </borders>
  <cellStyleXfs count="2">
    <xf numFmtId="0" fontId="0" fillId="3" borderId="0"/>
    <xf numFmtId="9" fontId="10" fillId="0" borderId="0" applyFont="0" applyFill="0" applyBorder="0" applyAlignment="0" applyProtection="0"/>
  </cellStyleXfs>
  <cellXfs count="202">
    <xf numFmtId="0" fontId="0" fillId="3" borderId="0" xfId="0"/>
    <xf numFmtId="0" fontId="1" fillId="2" borderId="0" xfId="0" applyFont="1" applyFill="1"/>
    <xf numFmtId="0" fontId="6" fillId="2" borderId="0" xfId="0" applyFont="1" applyFill="1"/>
    <xf numFmtId="0" fontId="1" fillId="3" borderId="0" xfId="0" applyFont="1"/>
    <xf numFmtId="0" fontId="9" fillId="3" borderId="0" xfId="0" applyFont="1"/>
    <xf numFmtId="0" fontId="1" fillId="3" borderId="0" xfId="0" applyFont="1" applyAlignment="1">
      <alignment horizontal="right"/>
    </xf>
    <xf numFmtId="0" fontId="3" fillId="3" borderId="0" xfId="0" applyFont="1"/>
    <xf numFmtId="0" fontId="4" fillId="3" borderId="0" xfId="0" applyFont="1"/>
    <xf numFmtId="0" fontId="7" fillId="2" borderId="0" xfId="0" applyFont="1" applyFill="1" applyAlignment="1">
      <alignment vertical="center"/>
    </xf>
    <xf numFmtId="0" fontId="7" fillId="3" borderId="0" xfId="0" applyFont="1" applyAlignment="1">
      <alignment vertical="center"/>
    </xf>
    <xf numFmtId="0" fontId="14" fillId="3" borderId="0" xfId="0" applyFont="1"/>
    <xf numFmtId="0" fontId="13" fillId="3" borderId="0" xfId="0" applyFont="1"/>
    <xf numFmtId="0" fontId="11" fillId="3" borderId="0" xfId="0" applyFont="1"/>
    <xf numFmtId="168" fontId="9" fillId="3" borderId="0" xfId="0" applyNumberFormat="1" applyFont="1"/>
    <xf numFmtId="170" fontId="9" fillId="3" borderId="0" xfId="0" applyNumberFormat="1" applyFont="1"/>
    <xf numFmtId="0" fontId="7" fillId="2" borderId="0" xfId="0" applyFont="1" applyFill="1" applyAlignment="1">
      <alignment vertical="top"/>
    </xf>
    <xf numFmtId="164" fontId="9" fillId="3" borderId="0" xfId="0" applyNumberFormat="1" applyFont="1"/>
    <xf numFmtId="165" fontId="13" fillId="3" borderId="0" xfId="0" applyNumberFormat="1" applyFont="1"/>
    <xf numFmtId="168" fontId="13" fillId="3" borderId="0" xfId="0" applyNumberFormat="1" applyFont="1"/>
    <xf numFmtId="170" fontId="13" fillId="3" borderId="0" xfId="0" applyNumberFormat="1" applyFont="1" applyAlignment="1">
      <alignment horizontal="right"/>
    </xf>
    <xf numFmtId="168" fontId="14" fillId="3" borderId="0" xfId="0" applyNumberFormat="1" applyFont="1"/>
    <xf numFmtId="0" fontId="18" fillId="3" borderId="0" xfId="0" applyFont="1"/>
    <xf numFmtId="168" fontId="18" fillId="3" borderId="0" xfId="0" applyNumberFormat="1" applyFont="1"/>
    <xf numFmtId="164" fontId="14" fillId="3" borderId="0" xfId="0" applyNumberFormat="1" applyFont="1" applyAlignment="1">
      <alignment horizontal="right"/>
    </xf>
    <xf numFmtId="10" fontId="1" fillId="3" borderId="0" xfId="0" applyNumberFormat="1" applyFont="1"/>
    <xf numFmtId="168" fontId="1" fillId="3" borderId="0" xfId="0" applyNumberFormat="1" applyFont="1"/>
    <xf numFmtId="164" fontId="18" fillId="3" borderId="0" xfId="0" applyNumberFormat="1" applyFont="1" applyAlignment="1">
      <alignment horizontal="right"/>
    </xf>
    <xf numFmtId="0" fontId="1" fillId="3" borderId="0" xfId="0" applyFont="1" applyAlignment="1">
      <alignment vertical="center"/>
    </xf>
    <xf numFmtId="0" fontId="1" fillId="3" borderId="0" xfId="0" applyFont="1" applyAlignment="1">
      <alignment vertical="center" wrapText="1"/>
    </xf>
    <xf numFmtId="0" fontId="16" fillId="8" borderId="0" xfId="0" applyFont="1" applyFill="1" applyAlignment="1">
      <alignment vertical="center"/>
    </xf>
    <xf numFmtId="0" fontId="16" fillId="8" borderId="0" xfId="0" applyFont="1" applyFill="1" applyAlignment="1">
      <alignment vertical="center" wrapText="1"/>
    </xf>
    <xf numFmtId="0" fontId="7" fillId="2" borderId="0" xfId="0" applyFont="1" applyFill="1" applyAlignment="1">
      <alignment horizontal="left" vertical="top"/>
    </xf>
    <xf numFmtId="168" fontId="1" fillId="2" borderId="0" xfId="0" applyNumberFormat="1" applyFont="1" applyFill="1"/>
    <xf numFmtId="0" fontId="7" fillId="3" borderId="0" xfId="0" applyFont="1" applyAlignment="1">
      <alignment horizontal="left" vertical="center"/>
    </xf>
    <xf numFmtId="0" fontId="1" fillId="3" borderId="5" xfId="0" applyFont="1" applyBorder="1" applyAlignment="1">
      <alignment vertical="center"/>
    </xf>
    <xf numFmtId="0" fontId="1" fillId="3" borderId="6" xfId="0" applyFont="1" applyBorder="1" applyAlignment="1">
      <alignment vertical="center"/>
    </xf>
    <xf numFmtId="168" fontId="19" fillId="3" borderId="8" xfId="0" applyNumberFormat="1" applyFont="1" applyBorder="1" applyAlignment="1">
      <alignment vertical="center" wrapText="1"/>
    </xf>
    <xf numFmtId="10" fontId="16" fillId="3" borderId="8" xfId="0" applyNumberFormat="1" applyFont="1" applyBorder="1" applyAlignment="1">
      <alignment vertical="center"/>
    </xf>
    <xf numFmtId="0" fontId="1" fillId="3" borderId="8" xfId="0" applyFont="1" applyBorder="1" applyAlignment="1">
      <alignment vertical="center"/>
    </xf>
    <xf numFmtId="0" fontId="1" fillId="3" borderId="9" xfId="0" applyFont="1" applyBorder="1" applyAlignment="1">
      <alignment vertical="center"/>
    </xf>
    <xf numFmtId="0" fontId="4" fillId="2" borderId="0" xfId="0" applyFont="1" applyFill="1" applyAlignment="1">
      <alignment vertical="center"/>
    </xf>
    <xf numFmtId="0" fontId="1" fillId="3" borderId="7" xfId="0" applyFont="1" applyBorder="1" applyAlignment="1">
      <alignment vertical="center"/>
    </xf>
    <xf numFmtId="0" fontId="20" fillId="3" borderId="8" xfId="0" applyFont="1" applyBorder="1" applyAlignment="1">
      <alignment vertical="center"/>
    </xf>
    <xf numFmtId="168" fontId="14" fillId="3" borderId="0" xfId="0" applyNumberFormat="1" applyFont="1" applyAlignment="1">
      <alignment vertical="center" wrapText="1"/>
    </xf>
    <xf numFmtId="10" fontId="14" fillId="3" borderId="0" xfId="0" applyNumberFormat="1" applyFont="1" applyAlignment="1">
      <alignment vertical="center"/>
    </xf>
    <xf numFmtId="0" fontId="1" fillId="9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1" fillId="12" borderId="0" xfId="0" applyFont="1" applyFill="1" applyAlignment="1">
      <alignment vertical="center"/>
    </xf>
    <xf numFmtId="0" fontId="1" fillId="13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10" fontId="9" fillId="2" borderId="0" xfId="1" applyNumberFormat="1" applyFont="1" applyFill="1" applyBorder="1" applyAlignment="1">
      <alignment vertical="center"/>
    </xf>
    <xf numFmtId="0" fontId="14" fillId="3" borderId="0" xfId="0" applyFont="1" applyAlignment="1">
      <alignment vertical="center"/>
    </xf>
    <xf numFmtId="167" fontId="9" fillId="3" borderId="0" xfId="0" applyNumberFormat="1" applyFont="1"/>
    <xf numFmtId="0" fontId="20" fillId="3" borderId="3" xfId="0" applyFont="1" applyBorder="1" applyAlignment="1">
      <alignment vertical="center"/>
    </xf>
    <xf numFmtId="0" fontId="14" fillId="3" borderId="3" xfId="0" applyFont="1" applyBorder="1"/>
    <xf numFmtId="168" fontId="14" fillId="3" borderId="3" xfId="0" applyNumberFormat="1" applyFont="1" applyBorder="1"/>
    <xf numFmtId="10" fontId="14" fillId="3" borderId="3" xfId="0" applyNumberFormat="1" applyFont="1" applyBorder="1"/>
    <xf numFmtId="171" fontId="24" fillId="3" borderId="0" xfId="0" applyNumberFormat="1" applyFont="1"/>
    <xf numFmtId="0" fontId="17" fillId="8" borderId="0" xfId="0" applyFont="1" applyFill="1" applyAlignment="1">
      <alignment vertical="center"/>
    </xf>
    <xf numFmtId="0" fontId="17" fillId="8" borderId="0" xfId="0" applyFont="1" applyFill="1"/>
    <xf numFmtId="10" fontId="9" fillId="3" borderId="0" xfId="1" applyNumberFormat="1" applyFont="1" applyFill="1" applyBorder="1"/>
    <xf numFmtId="0" fontId="1" fillId="2" borderId="0" xfId="0" applyFont="1" applyFill="1" applyAlignment="1">
      <alignment vertical="center"/>
    </xf>
    <xf numFmtId="166" fontId="15" fillId="8" borderId="0" xfId="0" applyNumberFormat="1" applyFont="1" applyFill="1" applyAlignment="1">
      <alignment vertical="center"/>
    </xf>
    <xf numFmtId="9" fontId="15" fillId="8" borderId="0" xfId="0" applyNumberFormat="1" applyFont="1" applyFill="1" applyAlignment="1">
      <alignment horizontal="left" vertical="center"/>
    </xf>
    <xf numFmtId="0" fontId="13" fillId="2" borderId="0" xfId="0" applyFont="1" applyFill="1" applyAlignment="1">
      <alignment vertical="top"/>
    </xf>
    <xf numFmtId="168" fontId="13" fillId="2" borderId="0" xfId="0" applyNumberFormat="1" applyFont="1" applyFill="1"/>
    <xf numFmtId="0" fontId="13" fillId="2" borderId="0" xfId="0" applyFont="1" applyFill="1"/>
    <xf numFmtId="165" fontId="13" fillId="2" borderId="0" xfId="1" applyNumberFormat="1" applyFont="1" applyFill="1" applyBorder="1" applyAlignment="1">
      <alignment horizontal="right"/>
    </xf>
    <xf numFmtId="0" fontId="18" fillId="2" borderId="3" xfId="0" applyFont="1" applyFill="1" applyBorder="1"/>
    <xf numFmtId="168" fontId="18" fillId="2" borderId="3" xfId="0" applyNumberFormat="1" applyFont="1" applyFill="1" applyBorder="1"/>
    <xf numFmtId="165" fontId="18" fillId="2" borderId="3" xfId="0" applyNumberFormat="1" applyFont="1" applyFill="1" applyBorder="1" applyAlignment="1">
      <alignment horizontal="right"/>
    </xf>
    <xf numFmtId="0" fontId="0" fillId="3" borderId="5" xfId="0" applyBorder="1"/>
    <xf numFmtId="0" fontId="0" fillId="3" borderId="6" xfId="0" applyBorder="1"/>
    <xf numFmtId="0" fontId="0" fillId="3" borderId="7" xfId="0" applyBorder="1"/>
    <xf numFmtId="0" fontId="0" fillId="3" borderId="8" xfId="0" applyBorder="1"/>
    <xf numFmtId="0" fontId="0" fillId="3" borderId="9" xfId="0" applyBorder="1"/>
    <xf numFmtId="173" fontId="9" fillId="2" borderId="0" xfId="0" applyNumberFormat="1" applyFont="1" applyFill="1" applyAlignment="1">
      <alignment vertical="center" wrapText="1"/>
    </xf>
    <xf numFmtId="0" fontId="25" fillId="3" borderId="3" xfId="0" applyFont="1" applyBorder="1"/>
    <xf numFmtId="10" fontId="25" fillId="3" borderId="3" xfId="0" applyNumberFormat="1" applyFont="1" applyBorder="1"/>
    <xf numFmtId="168" fontId="25" fillId="3" borderId="3" xfId="0" applyNumberFormat="1" applyFont="1" applyBorder="1"/>
    <xf numFmtId="0" fontId="25" fillId="3" borderId="3" xfId="0" applyFont="1" applyBorder="1" applyAlignment="1">
      <alignment horizontal="left"/>
    </xf>
    <xf numFmtId="10" fontId="25" fillId="3" borderId="3" xfId="1" applyNumberFormat="1" applyFont="1" applyFill="1" applyBorder="1" applyAlignment="1"/>
    <xf numFmtId="0" fontId="0" fillId="14" borderId="0" xfId="0" applyFill="1"/>
    <xf numFmtId="0" fontId="13" fillId="2" borderId="0" xfId="0" applyFont="1" applyFill="1" applyAlignment="1">
      <alignment horizontal="left"/>
    </xf>
    <xf numFmtId="10" fontId="9" fillId="3" borderId="0" xfId="1" applyNumberFormat="1" applyFont="1" applyFill="1" applyBorder="1" applyAlignment="1"/>
    <xf numFmtId="10" fontId="9" fillId="3" borderId="6" xfId="1" applyNumberFormat="1" applyFont="1" applyFill="1" applyBorder="1" applyAlignment="1"/>
    <xf numFmtId="0" fontId="13" fillId="3" borderId="0" xfId="0" applyFont="1" applyAlignment="1">
      <alignment horizontal="left"/>
    </xf>
    <xf numFmtId="0" fontId="1" fillId="19" borderId="0" xfId="0" applyFont="1" applyFill="1"/>
    <xf numFmtId="0" fontId="0" fillId="16" borderId="0" xfId="0" applyFill="1"/>
    <xf numFmtId="0" fontId="0" fillId="18" borderId="0" xfId="0" applyFill="1"/>
    <xf numFmtId="173" fontId="13" fillId="2" borderId="0" xfId="0" applyNumberFormat="1" applyFont="1" applyFill="1"/>
    <xf numFmtId="169" fontId="16" fillId="8" borderId="0" xfId="0" applyNumberFormat="1" applyFont="1" applyFill="1"/>
    <xf numFmtId="172" fontId="9" fillId="3" borderId="0" xfId="0" applyNumberFormat="1" applyFont="1"/>
    <xf numFmtId="0" fontId="1" fillId="3" borderId="15" xfId="0" applyFont="1" applyBorder="1"/>
    <xf numFmtId="0" fontId="1" fillId="3" borderId="16" xfId="0" applyFont="1" applyBorder="1"/>
    <xf numFmtId="0" fontId="1" fillId="3" borderId="1" xfId="0" applyFont="1" applyBorder="1"/>
    <xf numFmtId="0" fontId="26" fillId="3" borderId="0" xfId="0" applyFont="1"/>
    <xf numFmtId="0" fontId="22" fillId="3" borderId="12" xfId="0" applyFont="1" applyBorder="1"/>
    <xf numFmtId="0" fontId="9" fillId="3" borderId="15" xfId="0" applyFont="1" applyBorder="1"/>
    <xf numFmtId="0" fontId="9" fillId="3" borderId="17" xfId="0" applyFont="1" applyBorder="1"/>
    <xf numFmtId="0" fontId="22" fillId="3" borderId="13" xfId="0" applyFont="1" applyBorder="1"/>
    <xf numFmtId="0" fontId="22" fillId="3" borderId="14" xfId="0" applyFont="1" applyBorder="1"/>
    <xf numFmtId="0" fontId="21" fillId="8" borderId="18" xfId="0" applyFont="1" applyFill="1" applyBorder="1" applyAlignment="1">
      <alignment vertical="center"/>
    </xf>
    <xf numFmtId="0" fontId="2" fillId="2" borderId="19" xfId="0" applyFont="1" applyFill="1" applyBorder="1"/>
    <xf numFmtId="0" fontId="12" fillId="2" borderId="19" xfId="0" applyFont="1" applyFill="1" applyBorder="1"/>
    <xf numFmtId="0" fontId="11" fillId="3" borderId="19" xfId="0" applyFont="1" applyBorder="1"/>
    <xf numFmtId="0" fontId="6" fillId="2" borderId="19" xfId="0" applyFont="1" applyFill="1" applyBorder="1"/>
    <xf numFmtId="0" fontId="4" fillId="2" borderId="19" xfId="0" applyFont="1" applyFill="1" applyBorder="1"/>
    <xf numFmtId="0" fontId="5" fillId="2" borderId="11" xfId="0" applyFont="1" applyFill="1" applyBorder="1"/>
    <xf numFmtId="0" fontId="1" fillId="14" borderId="0" xfId="0" applyFont="1" applyFill="1"/>
    <xf numFmtId="0" fontId="1" fillId="15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18" borderId="0" xfId="0" applyFont="1" applyFill="1"/>
    <xf numFmtId="0" fontId="15" fillId="8" borderId="0" xfId="0" applyFont="1" applyFill="1" applyAlignment="1">
      <alignment horizontal="left" vertical="center"/>
    </xf>
    <xf numFmtId="0" fontId="18" fillId="2" borderId="3" xfId="0" applyFont="1" applyFill="1" applyBorder="1" applyAlignment="1">
      <alignment horizontal="left"/>
    </xf>
    <xf numFmtId="0" fontId="28" fillId="8" borderId="0" xfId="0" applyFont="1" applyFill="1" applyAlignment="1">
      <alignment vertical="center"/>
    </xf>
    <xf numFmtId="169" fontId="9" fillId="2" borderId="0" xfId="0" applyNumberFormat="1" applyFont="1" applyFill="1"/>
    <xf numFmtId="173" fontId="9" fillId="3" borderId="0" xfId="0" applyNumberFormat="1" applyFont="1"/>
    <xf numFmtId="174" fontId="9" fillId="3" borderId="0" xfId="0" applyNumberFormat="1" applyFont="1"/>
    <xf numFmtId="44" fontId="9" fillId="3" borderId="0" xfId="0" applyNumberFormat="1" applyFont="1"/>
    <xf numFmtId="0" fontId="0" fillId="3" borderId="15" xfId="0" applyBorder="1"/>
    <xf numFmtId="0" fontId="0" fillId="3" borderId="16" xfId="0" applyBorder="1"/>
    <xf numFmtId="0" fontId="0" fillId="3" borderId="17" xfId="0" applyBorder="1"/>
    <xf numFmtId="0" fontId="0" fillId="3" borderId="1" xfId="0" applyBorder="1"/>
    <xf numFmtId="0" fontId="0" fillId="3" borderId="10" xfId="0" applyBorder="1"/>
    <xf numFmtId="0" fontId="4" fillId="20" borderId="0" xfId="0" applyFont="1" applyFill="1"/>
    <xf numFmtId="0" fontId="4" fillId="21" borderId="0" xfId="0" applyFont="1" applyFill="1"/>
    <xf numFmtId="0" fontId="4" fillId="22" borderId="0" xfId="0" applyFont="1" applyFill="1"/>
    <xf numFmtId="0" fontId="4" fillId="23" borderId="0" xfId="0" applyFont="1" applyFill="1"/>
    <xf numFmtId="0" fontId="4" fillId="24" borderId="0" xfId="0" applyFont="1" applyFill="1"/>
    <xf numFmtId="0" fontId="9" fillId="3" borderId="0" xfId="0" applyFont="1" applyAlignment="1">
      <alignment horizontal="left"/>
    </xf>
    <xf numFmtId="0" fontId="22" fillId="3" borderId="0" xfId="0" applyFont="1"/>
    <xf numFmtId="0" fontId="9" fillId="3" borderId="16" xfId="0" applyFont="1" applyBorder="1"/>
    <xf numFmtId="0" fontId="9" fillId="3" borderId="1" xfId="0" applyFont="1" applyBorder="1"/>
    <xf numFmtId="0" fontId="9" fillId="3" borderId="10" xfId="0" applyFont="1" applyBorder="1"/>
    <xf numFmtId="0" fontId="3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0" fillId="3" borderId="0" xfId="0" pivotButton="1"/>
    <xf numFmtId="0" fontId="0" fillId="3" borderId="0" xfId="0" applyAlignment="1">
      <alignment horizontal="left"/>
    </xf>
    <xf numFmtId="10" fontId="0" fillId="3" borderId="0" xfId="0" applyNumberFormat="1"/>
    <xf numFmtId="0" fontId="1" fillId="25" borderId="0" xfId="0" applyFont="1" applyFill="1"/>
    <xf numFmtId="0" fontId="1" fillId="26" borderId="0" xfId="0" applyFont="1" applyFill="1"/>
    <xf numFmtId="0" fontId="1" fillId="27" borderId="0" xfId="0" applyFont="1" applyFill="1"/>
    <xf numFmtId="0" fontId="1" fillId="28" borderId="0" xfId="0" applyFont="1" applyFill="1"/>
    <xf numFmtId="0" fontId="1" fillId="9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4" fillId="34" borderId="0" xfId="0" applyFont="1" applyFill="1"/>
    <xf numFmtId="0" fontId="14" fillId="3" borderId="0" xfId="0" pivotButton="1" applyFont="1"/>
    <xf numFmtId="0" fontId="16" fillId="8" borderId="12" xfId="0" applyFont="1" applyFill="1" applyBorder="1" applyAlignment="1">
      <alignment vertical="center"/>
    </xf>
    <xf numFmtId="0" fontId="16" fillId="8" borderId="17" xfId="0" applyFont="1" applyFill="1" applyBorder="1" applyAlignment="1">
      <alignment vertical="center"/>
    </xf>
    <xf numFmtId="173" fontId="9" fillId="2" borderId="14" xfId="0" applyNumberFormat="1" applyFont="1" applyFill="1" applyBorder="1" applyAlignment="1">
      <alignment vertical="center" wrapText="1"/>
    </xf>
    <xf numFmtId="173" fontId="9" fillId="2" borderId="10" xfId="0" applyNumberFormat="1" applyFont="1" applyFill="1" applyBorder="1" applyAlignment="1">
      <alignment vertical="center" wrapText="1"/>
    </xf>
    <xf numFmtId="44" fontId="4" fillId="35" borderId="0" xfId="0" applyNumberFormat="1" applyFont="1" applyFill="1"/>
    <xf numFmtId="165" fontId="13" fillId="3" borderId="0" xfId="1" applyNumberFormat="1" applyFont="1" applyFill="1" applyAlignment="1">
      <alignment horizontal="right"/>
    </xf>
    <xf numFmtId="165" fontId="9" fillId="3" borderId="0" xfId="1" applyNumberFormat="1" applyFont="1" applyFill="1"/>
    <xf numFmtId="0" fontId="0" fillId="3" borderId="0" xfId="0" applyAlignment="1">
      <alignment horizontal="left" indent="1"/>
    </xf>
    <xf numFmtId="168" fontId="0" fillId="3" borderId="0" xfId="0" applyNumberFormat="1"/>
    <xf numFmtId="0" fontId="29" fillId="8" borderId="0" xfId="0" applyFont="1" applyFill="1"/>
    <xf numFmtId="0" fontId="4" fillId="37" borderId="0" xfId="0" applyFont="1" applyFill="1"/>
    <xf numFmtId="0" fontId="4" fillId="38" borderId="0" xfId="0" applyFont="1" applyFill="1"/>
    <xf numFmtId="0" fontId="4" fillId="36" borderId="0" xfId="0" applyFont="1" applyFill="1"/>
    <xf numFmtId="0" fontId="4" fillId="39" borderId="0" xfId="0" applyFont="1" applyFill="1"/>
    <xf numFmtId="0" fontId="25" fillId="3" borderId="0" xfId="0" applyFont="1" applyAlignment="1">
      <alignment horizontal="left"/>
    </xf>
    <xf numFmtId="0" fontId="18" fillId="2" borderId="0" xfId="0" applyFont="1" applyFill="1" applyAlignment="1">
      <alignment horizontal="left"/>
    </xf>
    <xf numFmtId="0" fontId="18" fillId="2" borderId="0" xfId="0" applyFont="1" applyFill="1"/>
    <xf numFmtId="168" fontId="18" fillId="2" borderId="0" xfId="0" applyNumberFormat="1" applyFont="1" applyFill="1"/>
    <xf numFmtId="165" fontId="18" fillId="2" borderId="0" xfId="0" applyNumberFormat="1" applyFont="1" applyFill="1" applyAlignment="1">
      <alignment horizontal="right"/>
    </xf>
    <xf numFmtId="10" fontId="30" fillId="2" borderId="0" xfId="1" applyNumberFormat="1" applyFont="1" applyFill="1"/>
    <xf numFmtId="173" fontId="31" fillId="2" borderId="0" xfId="0" applyNumberFormat="1" applyFont="1" applyFill="1" applyAlignment="1">
      <alignment vertical="center" wrapText="1"/>
    </xf>
    <xf numFmtId="0" fontId="1" fillId="40" borderId="0" xfId="0" applyFont="1" applyFill="1" applyAlignment="1">
      <alignment vertical="center"/>
    </xf>
    <xf numFmtId="0" fontId="1" fillId="36" borderId="0" xfId="0" applyFont="1" applyFill="1" applyAlignment="1">
      <alignment vertical="center"/>
    </xf>
    <xf numFmtId="0" fontId="1" fillId="41" borderId="0" xfId="0" applyFont="1" applyFill="1" applyAlignment="1">
      <alignment vertical="center"/>
    </xf>
    <xf numFmtId="0" fontId="0" fillId="38" borderId="0" xfId="0" applyFill="1"/>
    <xf numFmtId="0" fontId="0" fillId="42" borderId="0" xfId="0" applyFill="1"/>
    <xf numFmtId="0" fontId="0" fillId="37" borderId="0" xfId="0" applyFill="1"/>
    <xf numFmtId="175" fontId="4" fillId="2" borderId="0" xfId="1" applyNumberFormat="1" applyFont="1" applyFill="1" applyBorder="1" applyAlignment="1">
      <alignment vertical="center"/>
    </xf>
    <xf numFmtId="175" fontId="9" fillId="2" borderId="0" xfId="1" applyNumberFormat="1" applyFont="1" applyFill="1" applyBorder="1" applyAlignment="1">
      <alignment vertical="center"/>
    </xf>
    <xf numFmtId="0" fontId="27" fillId="8" borderId="2" xfId="0" applyFont="1" applyFill="1" applyBorder="1" applyAlignment="1">
      <alignment horizontal="center" vertical="center"/>
    </xf>
    <xf numFmtId="0" fontId="27" fillId="8" borderId="3" xfId="0" applyFont="1" applyFill="1" applyBorder="1" applyAlignment="1">
      <alignment horizontal="center" vertical="center"/>
    </xf>
    <xf numFmtId="0" fontId="27" fillId="8" borderId="4" xfId="0" applyFont="1" applyFill="1" applyBorder="1" applyAlignment="1">
      <alignment horizontal="center" vertical="center"/>
    </xf>
    <xf numFmtId="173" fontId="9" fillId="43" borderId="0" xfId="0" applyNumberFormat="1" applyFont="1" applyFill="1" applyAlignment="1">
      <alignment vertical="center" wrapText="1"/>
    </xf>
    <xf numFmtId="173" fontId="25" fillId="43" borderId="0" xfId="0" applyNumberFormat="1" applyFont="1" applyFill="1" applyAlignment="1">
      <alignment vertical="center" wrapText="1"/>
    </xf>
    <xf numFmtId="0" fontId="27" fillId="8" borderId="2" xfId="0" applyFont="1" applyFill="1" applyBorder="1" applyAlignment="1">
      <alignment horizontal="center" vertical="center"/>
    </xf>
    <xf numFmtId="0" fontId="27" fillId="8" borderId="3" xfId="0" applyFont="1" applyFill="1" applyBorder="1" applyAlignment="1">
      <alignment horizontal="center" vertical="center"/>
    </xf>
    <xf numFmtId="0" fontId="27" fillId="8" borderId="4" xfId="0" applyFont="1" applyFill="1" applyBorder="1" applyAlignment="1">
      <alignment horizontal="center" vertical="center"/>
    </xf>
    <xf numFmtId="0" fontId="27" fillId="8" borderId="12" xfId="0" applyFont="1" applyFill="1" applyBorder="1" applyAlignment="1">
      <alignment horizontal="center" vertical="center"/>
    </xf>
    <xf numFmtId="0" fontId="27" fillId="8" borderId="13" xfId="0" applyFont="1" applyFill="1" applyBorder="1" applyAlignment="1">
      <alignment horizontal="center" vertical="center"/>
    </xf>
    <xf numFmtId="0" fontId="27" fillId="8" borderId="14" xfId="0" applyFont="1" applyFill="1" applyBorder="1" applyAlignment="1">
      <alignment horizontal="center" vertical="center"/>
    </xf>
    <xf numFmtId="0" fontId="7" fillId="3" borderId="0" xfId="0" applyFont="1" applyAlignment="1">
      <alignment horizontal="left" vertical="center"/>
    </xf>
    <xf numFmtId="0" fontId="27" fillId="8" borderId="15" xfId="0" applyFont="1" applyFill="1" applyBorder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3" fillId="3" borderId="0" xfId="0" applyFont="1" applyAlignment="1">
      <alignment horizontal="center"/>
    </xf>
    <xf numFmtId="0" fontId="7" fillId="2" borderId="0" xfId="0" applyFont="1" applyFill="1" applyAlignment="1">
      <alignment horizontal="left" vertical="top"/>
    </xf>
  </cellXfs>
  <cellStyles count="2">
    <cellStyle name="Normal" xfId="0" builtinId="0" customBuiltin="1"/>
    <cellStyle name="Percent" xfId="1" builtinId="5"/>
  </cellStyles>
  <dxfs count="202">
    <dxf>
      <numFmt numFmtId="168" formatCode="#,##0.000\ &quot;₫&quot;"/>
    </dxf>
    <dxf>
      <numFmt numFmtId="168" formatCode="#,##0.000\ &quot;₫&quot;"/>
    </dxf>
    <dxf>
      <font>
        <color rgb="FFFF6363"/>
      </font>
    </dxf>
    <dxf>
      <font>
        <color rgb="FF96DE9B"/>
      </font>
    </dxf>
    <dxf>
      <font>
        <color rgb="FF96DE9B"/>
      </font>
    </dxf>
    <dxf>
      <font>
        <color rgb="FFFF6363"/>
      </font>
    </dxf>
    <dxf>
      <font>
        <color rgb="FFFF2D2D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5" formatCode="0.0%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4" formatCode="0.000%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2" formatCode="_-* #,##0.000\ &quot;₫&quot;_-;\-* #,##0.000\ &quot;₫&quot;_-;_-* &quot;-&quot;???\ &quot;₫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2" formatCode="_-* #,##0.000\ &quot;₫&quot;_-;\-* #,##0.000\ &quot;₫&quot;_-;_-* &quot;-&quot;???\ &quot;₫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9" formatCode="[$-1010409]mmm\ yy"/>
      <fill>
        <patternFill patternType="solid">
          <fgColor indexed="64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numFmt numFmtId="169" formatCode="[$-1010409]mmm\ yy"/>
      <fill>
        <patternFill patternType="solid">
          <fgColor indexed="64"/>
          <bgColor rgb="FFF2B5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2" formatCode="_-* #,##0.000\ &quot;₫&quot;_-;\-* #,##0.000\ &quot;₫&quot;_-;_-* &quot;-&quot;???\ &quot;₫&quot;_-;_-@_-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9" formatCode="[$-1010409]mmm\ yy"/>
      <fill>
        <patternFill patternType="solid">
          <fgColor indexed="64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numFmt numFmtId="169" formatCode="[$-1010409]mmm\ yy"/>
      <fill>
        <patternFill patternType="solid">
          <fgColor indexed="64"/>
          <bgColor rgb="FFF2B5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border diagonalUp="0" diagonalDown="0">
        <left style="thin">
          <color rgb="FFF2B5D4"/>
        </left>
        <right style="thin">
          <color rgb="FFF2B5D4"/>
        </right>
        <top style="thin">
          <color rgb="FFF2B5D4"/>
        </top>
        <bottom style="thin">
          <color rgb="FFF2B5D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2B5D4"/>
        <name val="SVN-Sansation"/>
        <family val="1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Montserrat Light"/>
        <scheme val="none"/>
      </font>
      <fill>
        <patternFill patternType="solid">
          <fgColor rgb="FFF5FFFA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Montserrat Light"/>
        <scheme val="none"/>
      </font>
      <fill>
        <patternFill patternType="solid">
          <fgColor rgb="FFF5FFFA"/>
          <bgColor indexed="65"/>
        </patternFill>
      </fill>
    </dxf>
    <dxf>
      <border diagonalUp="0" diagonalDown="0">
        <left style="thin">
          <color rgb="FFF2B5D4"/>
        </left>
        <right style="thin">
          <color rgb="FFF2B5D4"/>
        </right>
        <top style="thin">
          <color rgb="FFF2B5D4"/>
        </top>
        <bottom style="thin">
          <color rgb="FFF2B5D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Montserrat Light"/>
        <scheme val="none"/>
      </font>
      <fill>
        <patternFill patternType="solid">
          <fgColor rgb="FFF5FFFA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2B5D4"/>
        <name val="SVN-Sansation"/>
        <family val="1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border diagonalUp="0" diagonalDown="0">
        <left style="thin">
          <color rgb="FFF2B5D4"/>
        </left>
        <right style="thin">
          <color rgb="FFF2B5D4"/>
        </right>
        <top style="thin">
          <color rgb="FFF2B5D4"/>
        </top>
        <bottom style="thin">
          <color rgb="FFF2B5D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2B5D4"/>
        <name val="SVN-Sansation"/>
        <family val="1"/>
        <scheme val="none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  <border diagonalUp="0" diagonalDown="0">
        <left/>
        <right style="thin">
          <color rgb="FFF2B5D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rgb="FFF2B5D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2B5D4"/>
        <name val="SVN-Sansation"/>
        <family val="1"/>
        <scheme val="none"/>
      </font>
      <fill>
        <patternFill patternType="solid">
          <fgColor indexed="64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5" formatCode="0.0%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</dxf>
    <dxf>
      <border>
        <top style="thin">
          <color theme="0"/>
        </top>
      </border>
    </dxf>
    <dxf>
      <font>
        <b/>
        <strike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Montserrat Light"/>
        <scheme val="none"/>
      </font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2" tint="-0.249977111117893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2" tint="-0.249977111117893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2" tint="-0.249977111117893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2" tint="-0.249977111117893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</dxf>
    <dxf>
      <border>
        <top style="thin">
          <color theme="0"/>
        </top>
      </border>
    </dxf>
    <dxf>
      <font>
        <b/>
        <strike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8" formatCode="#,##0.000\ &quot;₫&quot;"/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8" formatCode="#,##0.000\ &quot;₫&quot;"/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4" formatCode="0.0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4" formatCode="0.000%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0" formatCode="[$-1010409]dd\ mmm\ 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8" formatCode="#,##0.000\ &quot;₫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3D325D"/>
        <name val="SVN-Sansation"/>
        <family val="1"/>
        <scheme val="none"/>
      </font>
      <fill>
        <patternFill patternType="solid">
          <fgColor indexed="64"/>
          <bgColor rgb="FFF2B5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5" formatCode="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70" formatCode="[$-1010409]dd\ mmm\ yy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5" formatCode="0.0%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strike val="0"/>
        <outline val="0"/>
        <shadow val="0"/>
        <u val="none"/>
        <vertAlign val="baseline"/>
        <sz val="10"/>
        <color theme="0"/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7" formatCode="[$-1010409]dd\ mmm\ yy;@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numFmt numFmtId="173" formatCode="_-* #,##0.000\ &quot;₫&quot;_-;\-* #,##0.000\ &quot;₫&quot;_-;_-* &quot;-&quot;??\ &quot;₫&quot;_-;_-@_-"/>
      <fill>
        <patternFill>
          <fgColor rgb="FF000000"/>
        </patternFill>
      </fill>
      <alignment vertical="center" wrapText="1"/>
    </dxf>
    <dxf>
      <font>
        <name val="Montserrat Light"/>
        <scheme val="none"/>
      </font>
    </dxf>
    <dxf>
      <font>
        <name val="Montserrat Light"/>
        <scheme val="none"/>
      </font>
    </dxf>
    <dxf>
      <font>
        <b/>
      </font>
    </dxf>
    <dxf>
      <font>
        <name val="SVN-Sansatio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7" formatCode="[$-1010409]dd\ mmm\ yy;@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8" formatCode="#,##0.000\ &quot;₫&quot;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7" formatCode="[$-1010409]dd\ mmm\ yy;@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7" formatCode="[$-1010409]dd\ mmm\ yy;@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4" formatCode="0.00%"/>
      <fill>
        <patternFill patternType="solid">
          <fgColor indexed="64"/>
          <bgColor rgb="FF00000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numFmt numFmtId="168" formatCode="#,##0.000\ &quot;₫&quot;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charset val="163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rgb="FF000000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rgb="FF000000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SVN-Sansation"/>
        <family val="1"/>
        <scheme val="none"/>
      </font>
      <fill>
        <patternFill patternType="solid">
          <fgColor indexed="64"/>
          <bgColor theme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fill>
        <patternFill patternType="solid">
          <fgColor indexed="64"/>
          <bgColor rgb="FF00000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VN-Sansation"/>
        <family val="1"/>
        <scheme val="none"/>
      </font>
      <fill>
        <patternFill patternType="solid">
          <fgColor indexed="64"/>
          <bgColor rgb="FFF2B5D4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border diagonalUp="0" diagonalDown="0" outline="0">
        <left/>
        <right/>
        <top style="thin">
          <color rgb="FFE9ECF1"/>
        </top>
        <bottom/>
      </border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65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border diagonalUp="0" diagonalDown="0" outline="0">
        <left/>
        <right/>
        <top style="thin">
          <color rgb="FFE9ECF1"/>
        </top>
        <bottom/>
      </border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border diagonalUp="0" diagonalDown="0" outline="0">
        <left/>
        <right/>
        <top style="thin">
          <color rgb="FFE9ECF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border diagonalUp="0" diagonalDown="0" outline="0">
        <left/>
        <right/>
        <top style="thin">
          <color rgb="FFE9ECF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3" formatCode="_-* #,##0.000\ &quot;₫&quot;_-;\-* #,##0.000\ &quot;₫&quot;_-;_-* &quot;-&quot;??\ &quot;₫&quot;_-;_-@_-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border diagonalUp="0" diagonalDown="0" outline="0">
        <left/>
        <right/>
        <top style="thin">
          <color rgb="FFE9ECF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 Light"/>
        <scheme val="none"/>
      </font>
      <numFmt numFmtId="174" formatCode="[$-1010409]mmm\ yyyy"/>
      <fill>
        <patternFill patternType="solid">
          <fgColor indexed="64"/>
          <bgColor theme="1"/>
        </patternFill>
      </fill>
    </dxf>
    <dxf>
      <border>
        <top style="thin">
          <color rgb="FFE9ECF1"/>
        </top>
      </border>
    </dxf>
    <dxf>
      <font>
        <b/>
      </font>
    </dxf>
    <dxf>
      <font>
        <strike val="0"/>
        <outline val="0"/>
        <shadow val="0"/>
        <u val="none"/>
        <vertAlign val="baseline"/>
        <sz val="11"/>
        <color theme="0"/>
        <name val="Montserrat Ligh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B433B"/>
        <name val="SVN-Sansation"/>
        <family val="1"/>
        <scheme val="none"/>
      </font>
      <fill>
        <patternFill patternType="solid">
          <fgColor indexed="64"/>
          <bgColor rgb="FFF2B5D4"/>
        </patternFill>
      </fill>
    </dxf>
    <dxf>
      <font>
        <color rgb="FF8B0000"/>
        <name val="SVN-Sansation"/>
        <family val="1"/>
      </font>
      <fill>
        <patternFill patternType="solid">
          <fgColor auto="1"/>
          <bgColor rgb="FFE3D6E9"/>
        </patternFill>
      </fill>
    </dxf>
    <dxf>
      <font>
        <color theme="0"/>
        <name val="Montserrat Light"/>
        <scheme val="none"/>
      </font>
      <fill>
        <patternFill patternType="none">
          <bgColor auto="1"/>
        </patternFill>
      </fill>
      <border>
        <left style="thin">
          <color rgb="FF8B0000"/>
        </left>
        <right style="thin">
          <color rgb="FF8B0000"/>
        </right>
        <top style="thin">
          <color rgb="FF8B0000"/>
        </top>
        <bottom style="thin">
          <color rgb="FF8B0000"/>
        </bottom>
      </border>
    </dxf>
    <dxf>
      <font>
        <color theme="1"/>
        <name val="SVN-Sansation"/>
        <family val="1"/>
      </font>
      <fill>
        <patternFill patternType="solid">
          <fgColor auto="1"/>
          <bgColor rgb="FF8FBC8F"/>
        </patternFill>
      </fill>
    </dxf>
    <dxf>
      <font>
        <color theme="0"/>
        <name val="Montserrat Light"/>
        <scheme val="none"/>
      </font>
      <fill>
        <patternFill patternType="none">
          <bgColor auto="1"/>
        </patternFill>
      </fill>
      <border>
        <left style="thin">
          <color rgb="FF8FBC8F"/>
        </left>
        <right style="thin">
          <color rgb="FF8FBC8F"/>
        </right>
        <top style="thin">
          <color rgb="FF8FBC8F"/>
        </top>
        <bottom style="thin">
          <color rgb="FF8FBC8F"/>
        </bottom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>
        <top style="thin">
          <color rgb="FFF2B5D4"/>
        </top>
      </border>
    </dxf>
    <dxf>
      <font>
        <color rgb="FF013220"/>
      </font>
      <fill>
        <patternFill>
          <bgColor rgb="FFDFB1B6"/>
        </patternFill>
      </fill>
    </dxf>
    <dxf>
      <border diagonalUp="0" diagonalDown="0">
        <left/>
        <right/>
        <top/>
        <bottom/>
        <vertical/>
        <horizontal/>
      </border>
    </dxf>
    <dxf>
      <font>
        <color rgb="FF6FFFFF"/>
      </font>
      <fill>
        <patternFill>
          <bgColor rgb="FF2D3032"/>
        </patternFill>
      </fill>
    </dxf>
    <dxf>
      <border>
        <left style="thin">
          <color rgb="FF6FFFFF"/>
        </left>
        <right style="thin">
          <color rgb="FF6FFFFF"/>
        </right>
        <top style="thin">
          <color rgb="FF6FFFFF"/>
        </top>
        <bottom style="thin">
          <color rgb="FF6FFFFF"/>
        </bottom>
      </border>
    </dxf>
    <dxf>
      <border>
        <top style="thin">
          <color rgb="FFF5FFFA"/>
        </top>
      </border>
    </dxf>
    <dxf>
      <font>
        <color theme="1"/>
      </font>
      <fill>
        <patternFill>
          <fgColor rgb="FFF5FFFA"/>
        </patternFill>
      </fill>
      <border diagonalUp="0" diagonalDown="0">
        <left/>
        <right/>
        <top/>
        <bottom/>
        <vertical/>
        <horizontal/>
      </border>
    </dxf>
    <dxf>
      <border>
        <top style="thin">
          <color rgb="FFF5FFFA"/>
        </top>
      </border>
    </dxf>
    <dxf>
      <border diagonalUp="0" diagonalDown="0">
        <left/>
        <right/>
        <top/>
        <bottom/>
        <vertical/>
        <horizontal/>
      </border>
    </dxf>
    <dxf>
      <border>
        <left style="thin">
          <color rgb="FF8B0000"/>
        </left>
        <right style="thin">
          <color rgb="FF8B0000"/>
        </right>
        <top style="thin">
          <color rgb="FF8B0000"/>
        </top>
        <bottom style="thin">
          <color rgb="FF8B0000"/>
        </bottom>
      </border>
    </dxf>
    <dxf>
      <border>
        <top style="thin">
          <color rgb="FFF5FFFA"/>
        </top>
      </border>
    </dxf>
    <dxf>
      <font>
        <color rgb="FF2F4F4F"/>
      </font>
      <fill>
        <patternFill>
          <bgColor rgb="FFD0EAE8"/>
        </patternFill>
      </fill>
    </dxf>
    <dxf>
      <border diagonalUp="0" diagonalDown="0">
        <left/>
        <right/>
        <top/>
        <bottom/>
        <vertical/>
        <horizontal/>
      </border>
    </dxf>
    <dxf>
      <font>
        <color rgb="FF8B0000"/>
        <name val="SVN-Sansation"/>
        <family val="1"/>
      </font>
      <fill>
        <patternFill>
          <bgColor rgb="FFE3D6E9"/>
        </patternFill>
      </fill>
    </dxf>
    <dxf>
      <font>
        <color theme="0"/>
        <name val="Montserrat Light"/>
      </font>
      <fill>
        <patternFill>
          <bgColor theme="1"/>
        </patternFill>
      </fill>
      <border>
        <left style="thin">
          <color rgb="FF8B0000"/>
        </left>
        <right style="thin">
          <color rgb="FF8B0000"/>
        </right>
        <top style="thin">
          <color rgb="FF8B0000"/>
        </top>
        <bottom style="thin">
          <color rgb="FF8B0000"/>
        </bottom>
      </border>
    </dxf>
    <dxf>
      <font>
        <color theme="1"/>
        <name val="SVN-Sansation"/>
        <family val="1"/>
      </font>
      <fill>
        <patternFill>
          <fgColor auto="1"/>
          <bgColor rgb="FFF2B5D4"/>
        </patternFill>
      </fill>
    </dxf>
    <dxf>
      <font>
        <color theme="0"/>
        <name val="Montserrat Light"/>
      </font>
      <fill>
        <patternFill>
          <bgColor theme="1"/>
        </patternFill>
      </fill>
      <border>
        <left style="thin">
          <color rgb="FFF2B5D4"/>
        </left>
        <right style="thin">
          <color rgb="FFF2B5D4"/>
        </right>
        <top style="thin">
          <color rgb="FFF2B5D4"/>
        </top>
        <bottom style="thin">
          <color rgb="FFF2B5D4"/>
        </bottom>
      </border>
    </dxf>
    <dxf>
      <font>
        <b/>
        <i val="0"/>
      </font>
    </dxf>
    <dxf>
      <font>
        <b/>
        <i val="0"/>
        <color theme="1"/>
      </font>
      <fill>
        <patternFill>
          <bgColor rgb="FFF2B5D4"/>
        </patternFill>
      </fill>
    </dxf>
    <dxf>
      <font>
        <color theme="0"/>
      </font>
      <fill>
        <patternFill>
          <bgColor theme="1"/>
        </patternFill>
      </fill>
    </dxf>
    <dxf>
      <font>
        <color rgb="FFC00000"/>
      </font>
      <fill>
        <patternFill>
          <fgColor rgb="FFE3D6E9"/>
        </patternFill>
      </fill>
    </dxf>
    <dxf>
      <font>
        <b/>
        <i val="0"/>
        <color rgb="FF8B0000"/>
      </font>
      <fill>
        <patternFill>
          <bgColor rgb="FFE3D6E9"/>
        </patternFill>
      </fill>
    </dxf>
    <dxf>
      <font>
        <b/>
        <i val="0"/>
        <color rgb="FF8B0000"/>
      </font>
      <fill>
        <patternFill>
          <fgColor rgb="FFE3D6E9"/>
        </patternFill>
      </fill>
    </dxf>
    <dxf>
      <font>
        <b/>
        <i val="0"/>
      </font>
      <border>
        <top style="thin">
          <color rgb="FFFF6363"/>
        </top>
      </border>
    </dxf>
    <dxf>
      <font>
        <color rgb="FFC00000"/>
      </font>
      <fill>
        <patternFill>
          <fgColor rgb="FFE3D6E9"/>
        </patternFill>
      </fill>
    </dxf>
    <dxf>
      <font>
        <b/>
        <i val="0"/>
      </font>
    </dxf>
    <dxf>
      <font>
        <b/>
        <i val="0"/>
        <color theme="1"/>
      </font>
      <fill>
        <patternFill>
          <bgColor rgb="FFD1EF9F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8B0000"/>
      </font>
      <fill>
        <patternFill>
          <bgColor rgb="FFE3D6E9"/>
        </patternFill>
      </fill>
    </dxf>
    <dxf>
      <font>
        <color theme="0"/>
      </font>
      <fill>
        <patternFill>
          <bgColor theme="1"/>
        </patternFill>
      </fill>
    </dxf>
  </dxfs>
  <tableStyles count="16" defaultTableStyle="TableStyleMedium2" defaultPivotStyle="PivotStyleLight16">
    <tableStyle name="expense" table="0" count="3" xr9:uid="{736A9851-E1BB-4C5A-B5EA-E91A4D563257}">
      <tableStyleElement type="wholeTable" dxfId="201"/>
      <tableStyleElement type="headerRow" dxfId="200"/>
      <tableStyleElement type="totalRow" dxfId="199"/>
    </tableStyle>
    <tableStyle name="income" table="0" count="3" xr9:uid="{E217FC4E-EF14-4009-BAFA-D214CDABDEF0}">
      <tableStyleElement type="wholeTable" dxfId="198"/>
      <tableStyleElement type="headerRow" dxfId="197"/>
      <tableStyleElement type="totalRow" dxfId="196"/>
    </tableStyle>
    <tableStyle name="PivotTable Style 1" table="0" count="5" xr9:uid="{742F91EB-E659-4256-A475-BF9E5DBB6072}">
      <tableStyleElement type="headerRow" dxfId="195"/>
      <tableStyleElement type="totalRow" dxfId="194"/>
      <tableStyleElement type="firstHeaderCell" dxfId="193"/>
      <tableStyleElement type="pageFieldLabels" dxfId="192"/>
      <tableStyleElement type="pageFieldValues" dxfId="191"/>
    </tableStyle>
    <tableStyle name="PivotTable Style 3" table="0" count="3" xr9:uid="{1CF889E2-B156-453E-82D6-73E067C4CAB2}">
      <tableStyleElement type="wholeTable" dxfId="190"/>
      <tableStyleElement type="headerRow" dxfId="189"/>
      <tableStyleElement type="totalRow" dxfId="188"/>
    </tableStyle>
    <tableStyle name="Slicer Style 1" pivot="0" table="0" count="3" xr9:uid="{8FBD13A0-1494-4ED7-8AEB-064AAF270A12}">
      <tableStyleElement type="wholeTable" dxfId="187"/>
      <tableStyleElement type="headerRow" dxfId="186"/>
    </tableStyle>
    <tableStyle name="Slicer Style 1 2" pivot="0" table="0" count="3" xr9:uid="{866C0B3F-72F2-4C33-A799-35C4C33555D5}">
      <tableStyleElement type="wholeTable" dxfId="185"/>
      <tableStyleElement type="headerRow" dxfId="184"/>
    </tableStyle>
    <tableStyle name="Table Style 1" pivot="0" count="3" xr9:uid="{9148D404-6FE0-4BC0-850A-CD6D41F78318}">
      <tableStyleElement type="wholeTable" dxfId="183"/>
      <tableStyleElement type="headerRow" dxfId="182"/>
      <tableStyleElement type="totalRow" dxfId="181"/>
    </tableStyle>
    <tableStyle name="Table Style 2" pivot="0" count="1" xr9:uid="{3BA44F2F-62CC-4701-8288-A8E5CC5E88CC}">
      <tableStyleElement type="wholeTable" dxfId="180"/>
    </tableStyle>
    <tableStyle name="Table Style 3" pivot="0" count="2" xr9:uid="{EC8DEA25-1B03-4615-8AEC-CB8F096A8739}">
      <tableStyleElement type="wholeTable" dxfId="179"/>
      <tableStyleElement type="totalRow" dxfId="178"/>
    </tableStyle>
    <tableStyle name="Table Style 4" pivot="0" count="2" xr9:uid="{EF9C1845-43B0-480E-B6E2-1103242998CE}">
      <tableStyleElement type="wholeTable" dxfId="177"/>
      <tableStyleElement type="totalRow" dxfId="176"/>
    </tableStyle>
    <tableStyle name="Table Style 5" pivot="0" count="2" xr9:uid="{EE22D4E3-16A9-43C3-9AFA-A581EA0948D5}">
      <tableStyleElement type="wholeTable" dxfId="175"/>
      <tableStyleElement type="headerRow" dxfId="174"/>
    </tableStyle>
    <tableStyle name="Table Style 6" pivot="0" count="3" xr9:uid="{427369ED-BE33-452F-91F6-9982676F2C5A}">
      <tableStyleElement type="wholeTable" dxfId="173"/>
      <tableStyleElement type="headerRow" dxfId="172"/>
      <tableStyleElement type="totalRow" dxfId="171"/>
    </tableStyle>
    <tableStyle name="Table Style 7" pivot="0" count="1" xr9:uid="{E613F5DE-FD2B-47C1-B33E-9C9BFA607E6C}">
      <tableStyleElement type="wholeTable" dxfId="170"/>
    </tableStyle>
    <tableStyle name="Table Style 8" pivot="0" count="1" xr9:uid="{DAF44882-65B7-46A5-B68F-7DEABF965963}">
      <tableStyleElement type="wholeTable" dxfId="169"/>
    </tableStyle>
    <tableStyle name="Timeline Style 1" pivot="0" table="0" count="4" xr9:uid="{4ADE8E14-B791-437F-A386-24652439A19A}">
      <tableStyleElement type="wholeTable" dxfId="168"/>
      <tableStyleElement type="headerRow" dxfId="167"/>
    </tableStyle>
    <tableStyle name="Timeline Style 1 2" pivot="0" table="0" count="4" xr9:uid="{8D573E4A-7981-4DB2-8FD9-D23DA1162A93}">
      <tableStyleElement type="wholeTable" dxfId="166"/>
      <tableStyleElement type="headerRow" dxfId="165"/>
    </tableStyle>
  </tableStyles>
  <colors>
    <mruColors>
      <color rgb="FFAD1F66"/>
      <color rgb="FFD92680"/>
      <color rgb="FFE05299"/>
      <color rgb="FFE87DB3"/>
      <color rgb="FFF0A8CC"/>
      <color rgb="FFF7D4E6"/>
      <color rgb="FFD1EF9F"/>
      <color rgb="FF82174D"/>
      <color rgb="FFF2B5D4"/>
      <color rgb="FF8B0000"/>
    </mruColors>
  </colors>
  <extLst>
    <ext xmlns:x14="http://schemas.microsoft.com/office/spreadsheetml/2009/9/main" uri="{46F421CA-312F-682f-3DD2-61675219B42D}">
      <x14:dxfs count="2">
        <dxf>
          <font>
            <color rgb="FFE3D6E9"/>
          </font>
          <fill>
            <patternFill>
              <bgColor rgb="FF2D3032"/>
            </patternFill>
          </fill>
        </dxf>
        <dxf>
          <font>
            <color theme="1"/>
          </font>
          <fill>
            <patternFill>
              <bgColor rgb="FFF2B5D4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1"/>
          </x14:slicerStyleElements>
        </x14:slicerStyle>
        <x14:slicerStyle name="Slicer Style 1 2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4">
        <dxf>
          <fill>
            <patternFill>
              <bgColor rgb="FF8B0000"/>
            </patternFill>
          </fill>
        </dxf>
        <dxf>
          <fill>
            <patternFill>
              <bgColor rgb="FFE3D6E9"/>
            </patternFill>
          </fill>
        </dxf>
        <dxf>
          <fill>
            <patternFill>
              <bgColor rgb="FF000000"/>
            </patternFill>
          </fill>
        </dxf>
        <dxf>
          <fill>
            <patternFill>
              <bgColor rgb="FF8FBC8F"/>
            </patternFill>
          </fill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line Style 1">
          <x15:timelineStyleElements>
            <x15:timelineStyleElement type="selectedTimeBlock" dxfId="3"/>
            <x15:timelineStyleElement type="selectedTimeBlockSpace" dxfId="2"/>
          </x15:timelineStyleElements>
        </x15:timelineStyle>
        <x15:timelineStyle name="Timeline Style 1 2">
          <x15:timelineStyleElements>
            <x15:timelineStyleElement type="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pivotCacheDefinition" Target="pivotCache/pivotCacheDefinition5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explosion val="10"/>
          <c:dPt>
            <c:idx val="0"/>
            <c:bubble3D val="0"/>
            <c:spPr>
              <a:solidFill>
                <a:srgbClr val="F7D4E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F2-4A51-97F9-AD4EE5E624DC}"/>
              </c:ext>
            </c:extLst>
          </c:dPt>
          <c:dPt>
            <c:idx val="1"/>
            <c:bubble3D val="0"/>
            <c:spPr>
              <a:solidFill>
                <a:srgbClr val="F0A8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F2-4A51-97F9-AD4EE5E624DC}"/>
              </c:ext>
            </c:extLst>
          </c:dPt>
          <c:dPt>
            <c:idx val="2"/>
            <c:bubble3D val="0"/>
            <c:spPr>
              <a:solidFill>
                <a:srgbClr val="E87DB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F2-4A51-97F9-AD4EE5E624DC}"/>
              </c:ext>
            </c:extLst>
          </c:dPt>
          <c:dPt>
            <c:idx val="3"/>
            <c:bubble3D val="0"/>
            <c:spPr>
              <a:solidFill>
                <a:srgbClr val="E0529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F2-4A51-97F9-AD4EE5E624DC}"/>
              </c:ext>
            </c:extLst>
          </c:dPt>
          <c:dPt>
            <c:idx val="4"/>
            <c:bubble3D val="0"/>
            <c:spPr>
              <a:solidFill>
                <a:srgbClr val="D9268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13F-4522-85A2-BE219F2A69B3}"/>
              </c:ext>
            </c:extLst>
          </c:dPt>
          <c:dPt>
            <c:idx val="5"/>
            <c:bubble3D val="0"/>
            <c:spPr>
              <a:solidFill>
                <a:srgbClr val="AD1F6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DCD-49AB-9D9A-824B700CAD75}"/>
              </c:ext>
            </c:extLst>
          </c:dPt>
          <c:cat>
            <c:strRef>
              <c:f>transactions!$B$7:$B$13</c:f>
              <c:strCache>
                <c:ptCount val="6"/>
                <c:pt idx="0">
                  <c:v>cash</c:v>
                </c:pt>
                <c:pt idx="1">
                  <c:v>mb bank</c:v>
                </c:pt>
                <c:pt idx="2">
                  <c:v>timo</c:v>
                </c:pt>
                <c:pt idx="3">
                  <c:v>vietcombank</c:v>
                </c:pt>
                <c:pt idx="4">
                  <c:v>msb</c:v>
                </c:pt>
                <c:pt idx="5">
                  <c:v>shopee pay</c:v>
                </c:pt>
              </c:strCache>
            </c:strRef>
          </c:cat>
          <c:val>
            <c:numRef>
              <c:f>transactions!$C$7:$C$13</c:f>
              <c:numCache>
                <c:formatCode>_-* #,##0.000\ "₫"_-;\-* #,##0.000\ "₫"_-;_-* "-"??\ "₫"_-;_-@_-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F2-4A51-97F9-AD4EE5E6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D4487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17-4A6B-A564-FE6F5B0C3ACE}"/>
              </c:ext>
            </c:extLst>
          </c:dPt>
          <c:dPt>
            <c:idx val="1"/>
            <c:bubble3D val="0"/>
            <c:spPr>
              <a:solidFill>
                <a:srgbClr val="E98DE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B17-4A6B-A564-FE6F5B0C3ACE}"/>
              </c:ext>
            </c:extLst>
          </c:dPt>
          <c:dPt>
            <c:idx val="2"/>
            <c:bubble3D val="0"/>
            <c:spPr>
              <a:solidFill>
                <a:srgbClr val="E9D8F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17-4A6B-A564-FE6F5B0C3ACE}"/>
              </c:ext>
            </c:extLst>
          </c:dPt>
          <c:dPt>
            <c:idx val="3"/>
            <c:bubble3D val="0"/>
            <c:spPr>
              <a:solidFill>
                <a:srgbClr val="FFEDE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B17-4A6B-A564-FE6F5B0C3ACE}"/>
              </c:ext>
            </c:extLst>
          </c:dPt>
          <c:cat>
            <c:strRef>
              <c:f>dashboard!$L$19:$L$22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dashboard!$M$19:$M$22</c:f>
              <c:numCache>
                <c:formatCode>_-* #,##0.000\ "₫"_-;\-* #,##0.000\ "₫"_-;_-* "-"??\ "₫"_-;_-@_-</c:formatCode>
                <c:ptCount val="4"/>
                <c:pt idx="0">
                  <c:v>0.50003287455071455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7-4A6B-A564-FE6F5B0C3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cash</a:t>
            </a:r>
            <a:r>
              <a:rPr lang="en-US" baseline="0"/>
              <a:t> flow &amp; savings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dashboard!$S$29</c:f>
              <c:strCache>
                <c:ptCount val="1"/>
                <c:pt idx="0">
                  <c:v>cash flow</c:v>
                </c:pt>
              </c:strCache>
            </c:strRef>
          </c:tx>
          <c:spPr>
            <a:ln w="28575" cap="rnd">
              <a:solidFill>
                <a:srgbClr val="82174D"/>
              </a:solidFill>
              <a:round/>
            </a:ln>
            <a:effectLst/>
          </c:spPr>
          <c:marker>
            <c:symbol val="none"/>
          </c:marker>
          <c:cat>
            <c:numRef>
              <c:f>dashboard!$P$30:$P$42</c:f>
              <c:numCache>
                <c:formatCode>[$-1010409]mmm\ yyyy</c:formatCode>
                <c:ptCount val="13"/>
                <c:pt idx="0">
                  <c:v>45870</c:v>
                </c:pt>
                <c:pt idx="1">
                  <c:v>45901</c:v>
                </c:pt>
                <c:pt idx="2">
                  <c:v>45931</c:v>
                </c:pt>
                <c:pt idx="3">
                  <c:v>45962</c:v>
                </c:pt>
                <c:pt idx="4">
                  <c:v>45992</c:v>
                </c:pt>
                <c:pt idx="5">
                  <c:v>46023</c:v>
                </c:pt>
                <c:pt idx="6">
                  <c:v>46054</c:v>
                </c:pt>
                <c:pt idx="7">
                  <c:v>46082</c:v>
                </c:pt>
                <c:pt idx="8">
                  <c:v>46113</c:v>
                </c:pt>
                <c:pt idx="9">
                  <c:v>46143</c:v>
                </c:pt>
                <c:pt idx="10">
                  <c:v>46174</c:v>
                </c:pt>
                <c:pt idx="11">
                  <c:v>46204</c:v>
                </c:pt>
                <c:pt idx="12">
                  <c:v>46235</c:v>
                </c:pt>
              </c:numCache>
            </c:numRef>
          </c:cat>
          <c:val>
            <c:numRef>
              <c:f>dashboard!$S$30:$S$42</c:f>
              <c:numCache>
                <c:formatCode>_-* #,##0.000\ "₫"_-;\-* #,##0.000\ "₫"_-;_-* "-"??\ "₫"_-;_-@_-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A01-43A7-9B3E-6957B0248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6368"/>
        <c:axId val="868449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dashboard!$Q$29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dashboard!$P$30:$P$42</c15:sqref>
                        </c15:formulaRef>
                      </c:ext>
                    </c:extLst>
                    <c:numCache>
                      <c:formatCode>[$-1010409]mmm\ yyyy</c:formatCode>
                      <c:ptCount val="13"/>
                      <c:pt idx="0">
                        <c:v>45870</c:v>
                      </c:pt>
                      <c:pt idx="1">
                        <c:v>45901</c:v>
                      </c:pt>
                      <c:pt idx="2">
                        <c:v>45931</c:v>
                      </c:pt>
                      <c:pt idx="3">
                        <c:v>45962</c:v>
                      </c:pt>
                      <c:pt idx="4">
                        <c:v>45992</c:v>
                      </c:pt>
                      <c:pt idx="5">
                        <c:v>46023</c:v>
                      </c:pt>
                      <c:pt idx="6">
                        <c:v>46054</c:v>
                      </c:pt>
                      <c:pt idx="7">
                        <c:v>46082</c:v>
                      </c:pt>
                      <c:pt idx="8">
                        <c:v>46113</c:v>
                      </c:pt>
                      <c:pt idx="9">
                        <c:v>46143</c:v>
                      </c:pt>
                      <c:pt idx="10">
                        <c:v>46174</c:v>
                      </c:pt>
                      <c:pt idx="11">
                        <c:v>46204</c:v>
                      </c:pt>
                      <c:pt idx="12">
                        <c:v>46235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dashboard!$Q$30:$Q$42</c15:sqref>
                        </c15:formulaRef>
                      </c:ext>
                    </c:extLst>
                    <c:numCache>
                      <c:formatCode>_-* #,##0.000\ "₫"_-;\-* #,##0.000\ "₫"_-;_-* "-"??\ "₫"_-;_-@_-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01-43A7-9B3E-6957B02481E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dashboard!$R$29</c15:sqref>
                        </c15:formulaRef>
                      </c:ext>
                    </c:extLst>
                    <c:strCache>
                      <c:ptCount val="1"/>
                      <c:pt idx="0">
                        <c:v>expense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dashboard!$P$30:$P$42</c15:sqref>
                        </c15:formulaRef>
                      </c:ext>
                    </c:extLst>
                    <c:numCache>
                      <c:formatCode>[$-1010409]mmm\ yyyy</c:formatCode>
                      <c:ptCount val="13"/>
                      <c:pt idx="0">
                        <c:v>45870</c:v>
                      </c:pt>
                      <c:pt idx="1">
                        <c:v>45901</c:v>
                      </c:pt>
                      <c:pt idx="2">
                        <c:v>45931</c:v>
                      </c:pt>
                      <c:pt idx="3">
                        <c:v>45962</c:v>
                      </c:pt>
                      <c:pt idx="4">
                        <c:v>45992</c:v>
                      </c:pt>
                      <c:pt idx="5">
                        <c:v>46023</c:v>
                      </c:pt>
                      <c:pt idx="6">
                        <c:v>46054</c:v>
                      </c:pt>
                      <c:pt idx="7">
                        <c:v>46082</c:v>
                      </c:pt>
                      <c:pt idx="8">
                        <c:v>46113</c:v>
                      </c:pt>
                      <c:pt idx="9">
                        <c:v>46143</c:v>
                      </c:pt>
                      <c:pt idx="10">
                        <c:v>46174</c:v>
                      </c:pt>
                      <c:pt idx="11">
                        <c:v>46204</c:v>
                      </c:pt>
                      <c:pt idx="12">
                        <c:v>46235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dashboard!$R$30:$R$42</c15:sqref>
                        </c15:formulaRef>
                      </c:ext>
                    </c:extLst>
                    <c:numCache>
                      <c:formatCode>_-* #,##0.000\ "₫"_-;\-* #,##0.000\ "₫"_-;_-* "-"??\ "₫"_-;_-@_-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A01-43A7-9B3E-6957B02481EC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strRef>
              <c:f>dashboard!$T$29</c:f>
              <c:strCache>
                <c:ptCount val="1"/>
                <c:pt idx="0">
                  <c:v>savings rate</c:v>
                </c:pt>
              </c:strCache>
            </c:strRef>
          </c:tx>
          <c:spPr>
            <a:ln w="28575" cap="rnd">
              <a:solidFill>
                <a:srgbClr val="F0A8CC"/>
              </a:solidFill>
              <a:round/>
            </a:ln>
            <a:effectLst/>
          </c:spPr>
          <c:marker>
            <c:symbol val="none"/>
          </c:marker>
          <c:cat>
            <c:numRef>
              <c:f>dashboard!$P$30:$P$42</c:f>
              <c:numCache>
                <c:formatCode>[$-1010409]mmm\ yyyy</c:formatCode>
                <c:ptCount val="13"/>
                <c:pt idx="0">
                  <c:v>45870</c:v>
                </c:pt>
                <c:pt idx="1">
                  <c:v>45901</c:v>
                </c:pt>
                <c:pt idx="2">
                  <c:v>45931</c:v>
                </c:pt>
                <c:pt idx="3">
                  <c:v>45962</c:v>
                </c:pt>
                <c:pt idx="4">
                  <c:v>45992</c:v>
                </c:pt>
                <c:pt idx="5">
                  <c:v>46023</c:v>
                </c:pt>
                <c:pt idx="6">
                  <c:v>46054</c:v>
                </c:pt>
                <c:pt idx="7">
                  <c:v>46082</c:v>
                </c:pt>
                <c:pt idx="8">
                  <c:v>46113</c:v>
                </c:pt>
                <c:pt idx="9">
                  <c:v>46143</c:v>
                </c:pt>
                <c:pt idx="10">
                  <c:v>46174</c:v>
                </c:pt>
                <c:pt idx="11">
                  <c:v>46204</c:v>
                </c:pt>
                <c:pt idx="12">
                  <c:v>46235</c:v>
                </c:pt>
              </c:numCache>
            </c:numRef>
          </c:cat>
          <c:val>
            <c:numRef>
              <c:f>dashboard!$T$30:$T$42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A01-43A7-9B3E-6957B0248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3968"/>
        <c:axId val="86843008"/>
      </c:lineChart>
      <c:dateAx>
        <c:axId val="86846368"/>
        <c:scaling>
          <c:orientation val="minMax"/>
        </c:scaling>
        <c:delete val="0"/>
        <c:axPos val="b"/>
        <c:numFmt formatCode="[$-1010409]mmm\ yyyy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6844928"/>
        <c:crosses val="autoZero"/>
        <c:auto val="1"/>
        <c:lblOffset val="100"/>
        <c:baseTimeUnit val="months"/>
        <c:majorUnit val="2"/>
        <c:majorTimeUnit val="months"/>
      </c:dateAx>
      <c:valAx>
        <c:axId val="86844928"/>
        <c:scaling>
          <c:orientation val="minMax"/>
        </c:scaling>
        <c:delete val="0"/>
        <c:axPos val="l"/>
        <c:numFmt formatCode="#,\ &quot;t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6846368"/>
        <c:crosses val="autoZero"/>
        <c:crossBetween val="between"/>
        <c:majorUnit val="25000"/>
      </c:valAx>
      <c:valAx>
        <c:axId val="8684300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6843968"/>
        <c:crosses val="max"/>
        <c:crossBetween val="between"/>
        <c:majorUnit val="0.75000000000000011"/>
      </c:valAx>
      <c:dateAx>
        <c:axId val="86843968"/>
        <c:scaling>
          <c:orientation val="minMax"/>
        </c:scaling>
        <c:delete val="1"/>
        <c:axPos val="b"/>
        <c:numFmt formatCode="[$-1010409]mmm\ yyyy" sourceLinked="1"/>
        <c:majorTickMark val="out"/>
        <c:minorTickMark val="none"/>
        <c:tickLblPos val="nextTo"/>
        <c:crossAx val="8684300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AD1F6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E7-4785-803A-32F540E82BB4}"/>
              </c:ext>
            </c:extLst>
          </c:dPt>
          <c:dPt>
            <c:idx val="1"/>
            <c:bubble3D val="0"/>
            <c:spPr>
              <a:solidFill>
                <a:srgbClr val="E0529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E7-4785-803A-32F540E82BB4}"/>
              </c:ext>
            </c:extLst>
          </c:dPt>
          <c:dPt>
            <c:idx val="2"/>
            <c:bubble3D val="0"/>
            <c:spPr>
              <a:solidFill>
                <a:srgbClr val="F0A8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E7-4785-803A-32F540E82BB4}"/>
              </c:ext>
            </c:extLst>
          </c:dPt>
          <c:dPt>
            <c:idx val="3"/>
            <c:bubble3D val="0"/>
            <c:spPr>
              <a:solidFill>
                <a:srgbClr val="FBE9F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E7-4785-803A-32F540E82BB4}"/>
              </c:ext>
            </c:extLst>
          </c:dPt>
          <c:cat>
            <c:strRef>
              <c:f>dashboard!$E$18:$E$21</c:f>
              <c:strCache>
                <c:ptCount val="4"/>
                <c:pt idx="0">
                  <c:v>wallets</c:v>
                </c:pt>
                <c:pt idx="1">
                  <c:v>savings</c:v>
                </c:pt>
                <c:pt idx="2">
                  <c:v>investments</c:v>
                </c:pt>
                <c:pt idx="3">
                  <c:v>reveivable</c:v>
                </c:pt>
              </c:strCache>
            </c:strRef>
          </c:cat>
          <c:val>
            <c:numRef>
              <c:f>dashboard!$F$18:$F$21</c:f>
              <c:numCache>
                <c:formatCode>_("₫"* #,##0.00_);_("₫"* \(#,##0.00\);_("₫"* "-"??_);_(@_)</c:formatCode>
                <c:ptCount val="4"/>
                <c:pt idx="0" formatCode="#,##0.000\ &quot;₫&quot;">
                  <c:v>-50</c:v>
                </c:pt>
                <c:pt idx="1">
                  <c:v>1000.1315068493151</c:v>
                </c:pt>
                <c:pt idx="2">
                  <c:v>556.29100000000005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E7-4785-803A-32F540E82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database!$G$6</c:f>
              <c:strCache>
                <c:ptCount val="1"/>
                <c:pt idx="0">
                  <c:v>balance</c:v>
                </c:pt>
              </c:strCache>
            </c:strRef>
          </c:tx>
          <c:spPr>
            <a:ln w="28575" cap="rnd">
              <a:solidFill>
                <a:srgbClr val="F0A8CC"/>
              </a:solidFill>
              <a:round/>
            </a:ln>
            <a:effectLst/>
          </c:spPr>
          <c:marker>
            <c:symbol val="none"/>
          </c:marker>
          <c:cat>
            <c:numRef>
              <c:f>database!$F$7:$F$8</c:f>
              <c:numCache>
                <c:formatCode>[$-1010409]mmm\ yy</c:formatCode>
                <c:ptCount val="2"/>
                <c:pt idx="0">
                  <c:v>46204</c:v>
                </c:pt>
                <c:pt idx="1">
                  <c:v>46235</c:v>
                </c:pt>
              </c:numCache>
            </c:numRef>
          </c:cat>
          <c:val>
            <c:numRef>
              <c:f>database!$G$7:$G$8</c:f>
              <c:numCache>
                <c:formatCode>_-* #,##0.000\ "₫"_-;\-* #,##0.000\ "₫"_-;_-* "-"???\ "₫"_-;_-@_-</c:formatCode>
                <c:ptCount val="2"/>
                <c:pt idx="0">
                  <c:v>1000</c:v>
                </c:pt>
                <c:pt idx="1">
                  <c:v>1556.4225068493151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06E-4DA4-9BE0-5F95959E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652704"/>
        <c:axId val="482653184"/>
      </c:lineChart>
      <c:dateAx>
        <c:axId val="482652704"/>
        <c:scaling>
          <c:orientation val="minMax"/>
        </c:scaling>
        <c:delete val="0"/>
        <c:axPos val="b"/>
        <c:numFmt formatCode="[$-1010409]mmm\ 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482653184"/>
        <c:crosses val="autoZero"/>
        <c:auto val="1"/>
        <c:lblOffset val="100"/>
        <c:baseTimeUnit val="months"/>
        <c:majorUnit val="12"/>
        <c:majorTimeUnit val="months"/>
      </c:dateAx>
      <c:valAx>
        <c:axId val="482653184"/>
        <c:scaling>
          <c:orientation val="minMax"/>
        </c:scaling>
        <c:delete val="0"/>
        <c:axPos val="l"/>
        <c:numFmt formatCode="#,\ &quot;tr&quot;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48265270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[finance-mng.xlsm]database!income_group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income by group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#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09874287"/>
        <c:axId val="609874767"/>
      </c:barChart>
      <c:catAx>
        <c:axId val="6098742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D1EF9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609874767"/>
        <c:crosses val="autoZero"/>
        <c:auto val="1"/>
        <c:lblAlgn val="ctr"/>
        <c:lblOffset val="100"/>
        <c:noMultiLvlLbl val="0"/>
      </c:catAx>
      <c:valAx>
        <c:axId val="609874767"/>
        <c:scaling>
          <c:orientation val="minMax"/>
        </c:scaling>
        <c:delete val="0"/>
        <c:axPos val="b"/>
        <c:numFmt formatCode="#,###\k" sourceLinked="0"/>
        <c:majorTickMark val="out"/>
        <c:minorTickMark val="none"/>
        <c:tickLblPos val="nextTo"/>
        <c:spPr>
          <a:noFill/>
          <a:ln>
            <a:solidFill>
              <a:srgbClr val="D1EF9F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609874287"/>
        <c:crosses val="autoZero"/>
        <c:crossBetween val="between"/>
        <c:majorUnit val="30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[finance-mng.xlsm]database!expense_group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expense by group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#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69040463"/>
        <c:axId val="2069037103"/>
      </c:barChart>
      <c:catAx>
        <c:axId val="20690404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8B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2069037103"/>
        <c:crosses val="autoZero"/>
        <c:auto val="1"/>
        <c:lblAlgn val="ctr"/>
        <c:lblOffset val="100"/>
        <c:noMultiLvlLbl val="0"/>
      </c:catAx>
      <c:valAx>
        <c:axId val="2069037103"/>
        <c:scaling>
          <c:orientation val="minMax"/>
        </c:scaling>
        <c:delete val="0"/>
        <c:axPos val="b"/>
        <c:numFmt formatCode="#,###\k" sourceLinked="0"/>
        <c:majorTickMark val="out"/>
        <c:minorTickMark val="none"/>
        <c:tickLblPos val="nextTo"/>
        <c:spPr>
          <a:noFill/>
          <a:ln>
            <a:solidFill>
              <a:srgbClr val="8B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206904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bg1"/>
          </a:solidFill>
          <a:latin typeface="Montserrat" pitchFamily="2" charset="0"/>
          <a:ea typeface="+mn-ea"/>
          <a:cs typeface="+mn-cs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[finance-mng.xlsm]database!income_category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income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1EF9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database!$Q$10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1EF9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database!$P$11:$P$15</c:f>
              <c:strCache>
                <c:ptCount val="4"/>
                <c:pt idx="0">
                  <c:v>family allowance</c:v>
                </c:pt>
                <c:pt idx="1">
                  <c:v>reimbursement</c:v>
                </c:pt>
                <c:pt idx="2">
                  <c:v>base salary &amp; allowances</c:v>
                </c:pt>
                <c:pt idx="3">
                  <c:v>dividends &amp; profits</c:v>
                </c:pt>
              </c:strCache>
            </c:strRef>
          </c:cat>
          <c:val>
            <c:numRef>
              <c:f>database!$Q$11:$Q$15</c:f>
              <c:numCache>
                <c:formatCode>#,##0.000\ "₫"</c:formatCode>
                <c:ptCount val="4"/>
                <c:pt idx="0">
                  <c:v>5880</c:v>
                </c:pt>
                <c:pt idx="1">
                  <c:v>273</c:v>
                </c:pt>
                <c:pt idx="2">
                  <c:v>50</c:v>
                </c:pt>
                <c:pt idx="3">
                  <c:v>2.3E-2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E-434E-92D6-409363A258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12304639"/>
        <c:axId val="812310879"/>
      </c:barChart>
      <c:catAx>
        <c:axId val="81230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D1EF9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12310879"/>
        <c:crosses val="autoZero"/>
        <c:auto val="1"/>
        <c:lblAlgn val="ctr"/>
        <c:lblOffset val="100"/>
        <c:noMultiLvlLbl val="0"/>
      </c:catAx>
      <c:valAx>
        <c:axId val="812310879"/>
        <c:scaling>
          <c:orientation val="minMax"/>
        </c:scaling>
        <c:delete val="0"/>
        <c:axPos val="b"/>
        <c:numFmt formatCode="#,###\k" sourceLinked="0"/>
        <c:majorTickMark val="out"/>
        <c:minorTickMark val="none"/>
        <c:tickLblPos val="nextTo"/>
        <c:spPr>
          <a:noFill/>
          <a:ln>
            <a:solidFill>
              <a:srgbClr val="D1EF9F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12304639"/>
        <c:crosses val="autoZero"/>
        <c:crossBetween val="between"/>
        <c:majorUnit val="30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[finance-mng.xlsm]database!expense_category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expense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8B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#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database!$Q$19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B0000"/>
            </a:solidFill>
            <a:ln>
              <a:noFill/>
            </a:ln>
            <a:effectLst/>
          </c:spPr>
          <c:invertIfNegative val="0"/>
          <c:dLbls>
            <c:numFmt formatCode="#,###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database!$P$20:$P$25</c:f>
              <c:strCache>
                <c:ptCount val="5"/>
                <c:pt idx="0">
                  <c:v>housing</c:v>
                </c:pt>
                <c:pt idx="1">
                  <c:v>travel &amp; vacation</c:v>
                </c:pt>
                <c:pt idx="2">
                  <c:v>food &amp; groceries</c:v>
                </c:pt>
                <c:pt idx="3">
                  <c:v>basic transit</c:v>
                </c:pt>
                <c:pt idx="4">
                  <c:v>dining out</c:v>
                </c:pt>
              </c:strCache>
            </c:strRef>
          </c:cat>
          <c:val>
            <c:numRef>
              <c:f>database!$Q$20:$Q$25</c:f>
              <c:numCache>
                <c:formatCode>#,##0.000\ "₫"</c:formatCode>
                <c:ptCount val="5"/>
                <c:pt idx="0">
                  <c:v>2843</c:v>
                </c:pt>
                <c:pt idx="1">
                  <c:v>1561</c:v>
                </c:pt>
                <c:pt idx="2">
                  <c:v>609.41000000000008</c:v>
                </c:pt>
                <c:pt idx="3">
                  <c:v>558.34299999999996</c:v>
                </c:pt>
                <c:pt idx="4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0-4C08-851B-B44D8D78D6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05319455"/>
        <c:axId val="705329055"/>
      </c:barChart>
      <c:catAx>
        <c:axId val="70531945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8B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05329055"/>
        <c:crosses val="autoZero"/>
        <c:auto val="1"/>
        <c:lblAlgn val="ctr"/>
        <c:lblOffset val="100"/>
        <c:noMultiLvlLbl val="0"/>
      </c:catAx>
      <c:valAx>
        <c:axId val="705329055"/>
        <c:scaling>
          <c:orientation val="minMax"/>
        </c:scaling>
        <c:delete val="0"/>
        <c:axPos val="b"/>
        <c:numFmt formatCode="#,###\k" sourceLinked="0"/>
        <c:majorTickMark val="out"/>
        <c:minorTickMark val="none"/>
        <c:tickLblPos val="nextTo"/>
        <c:spPr>
          <a:noFill/>
          <a:ln>
            <a:solidFill>
              <a:srgbClr val="8B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0531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incom &amp; enxpense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dashboard!$Q$29</c:f>
              <c:strCache>
                <c:ptCount val="1"/>
                <c:pt idx="0">
                  <c:v>income</c:v>
                </c:pt>
              </c:strCache>
            </c:strRef>
          </c:tx>
          <c:spPr>
            <a:solidFill>
              <a:srgbClr val="D1EF9F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D1EF9F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dashboard!$P$30:$P$42</c:f>
              <c:numCache>
                <c:formatCode>[$-1010409]mmm\ yyyy</c:formatCode>
                <c:ptCount val="13"/>
                <c:pt idx="0">
                  <c:v>45870</c:v>
                </c:pt>
                <c:pt idx="1">
                  <c:v>45901</c:v>
                </c:pt>
                <c:pt idx="2">
                  <c:v>45931</c:v>
                </c:pt>
                <c:pt idx="3">
                  <c:v>45962</c:v>
                </c:pt>
                <c:pt idx="4">
                  <c:v>45992</c:v>
                </c:pt>
                <c:pt idx="5">
                  <c:v>46023</c:v>
                </c:pt>
                <c:pt idx="6">
                  <c:v>46054</c:v>
                </c:pt>
                <c:pt idx="7">
                  <c:v>46082</c:v>
                </c:pt>
                <c:pt idx="8">
                  <c:v>46113</c:v>
                </c:pt>
                <c:pt idx="9">
                  <c:v>46143</c:v>
                </c:pt>
                <c:pt idx="10">
                  <c:v>46174</c:v>
                </c:pt>
                <c:pt idx="11">
                  <c:v>46204</c:v>
                </c:pt>
                <c:pt idx="12">
                  <c:v>46235</c:v>
                </c:pt>
              </c:numCache>
            </c:numRef>
          </c:cat>
          <c:val>
            <c:numRef>
              <c:f>dashboard!$Q$30:$Q$42</c:f>
              <c:numCache>
                <c:formatCode>_-* #,##0.000\ "₫"_-;\-* #,##0.000\ "₫"_-;_-* "-"??\ "₫"_-;_-@_-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68-4646-8C81-2C42151A67B8}"/>
            </c:ext>
          </c:extLst>
        </c:ser>
        <c:ser>
          <c:idx val="1"/>
          <c:order val="1"/>
          <c:tx>
            <c:strRef>
              <c:f>dashboard!$R$29</c:f>
              <c:strCache>
                <c:ptCount val="1"/>
                <c:pt idx="0">
                  <c:v>expense</c:v>
                </c:pt>
              </c:strCache>
            </c:strRef>
          </c:tx>
          <c:spPr>
            <a:solidFill>
              <a:srgbClr val="8B0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8B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dashboard!$P$30:$P$42</c:f>
              <c:numCache>
                <c:formatCode>[$-1010409]mmm\ yyyy</c:formatCode>
                <c:ptCount val="13"/>
                <c:pt idx="0">
                  <c:v>45870</c:v>
                </c:pt>
                <c:pt idx="1">
                  <c:v>45901</c:v>
                </c:pt>
                <c:pt idx="2">
                  <c:v>45931</c:v>
                </c:pt>
                <c:pt idx="3">
                  <c:v>45962</c:v>
                </c:pt>
                <c:pt idx="4">
                  <c:v>45992</c:v>
                </c:pt>
                <c:pt idx="5">
                  <c:v>46023</c:v>
                </c:pt>
                <c:pt idx="6">
                  <c:v>46054</c:v>
                </c:pt>
                <c:pt idx="7">
                  <c:v>46082</c:v>
                </c:pt>
                <c:pt idx="8">
                  <c:v>46113</c:v>
                </c:pt>
                <c:pt idx="9">
                  <c:v>46143</c:v>
                </c:pt>
                <c:pt idx="10">
                  <c:v>46174</c:v>
                </c:pt>
                <c:pt idx="11">
                  <c:v>46204</c:v>
                </c:pt>
                <c:pt idx="12">
                  <c:v>46235</c:v>
                </c:pt>
              </c:numCache>
            </c:numRef>
          </c:cat>
          <c:val>
            <c:numRef>
              <c:f>dashboard!$R$30:$R$42</c:f>
              <c:numCache>
                <c:formatCode>_-* #,##0.000\ "₫"_-;\-* #,##0.000\ "₫"_-;_-* "-"??\ "₫"_-;_-@_-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68-4646-8C81-2C42151A6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246528"/>
        <c:axId val="364254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dashboard!$S$29</c15:sqref>
                        </c15:formulaRef>
                      </c:ext>
                    </c:extLst>
                    <c:strCache>
                      <c:ptCount val="1"/>
                      <c:pt idx="0">
                        <c:v>cash flow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dashboard!$P$30:$P$42</c15:sqref>
                        </c15:formulaRef>
                      </c:ext>
                    </c:extLst>
                    <c:numCache>
                      <c:formatCode>[$-1010409]mmm\ yyyy</c:formatCode>
                      <c:ptCount val="13"/>
                      <c:pt idx="0">
                        <c:v>45870</c:v>
                      </c:pt>
                      <c:pt idx="1">
                        <c:v>45901</c:v>
                      </c:pt>
                      <c:pt idx="2">
                        <c:v>45931</c:v>
                      </c:pt>
                      <c:pt idx="3">
                        <c:v>45962</c:v>
                      </c:pt>
                      <c:pt idx="4">
                        <c:v>45992</c:v>
                      </c:pt>
                      <c:pt idx="5">
                        <c:v>46023</c:v>
                      </c:pt>
                      <c:pt idx="6">
                        <c:v>46054</c:v>
                      </c:pt>
                      <c:pt idx="7">
                        <c:v>46082</c:v>
                      </c:pt>
                      <c:pt idx="8">
                        <c:v>46113</c:v>
                      </c:pt>
                      <c:pt idx="9">
                        <c:v>46143</c:v>
                      </c:pt>
                      <c:pt idx="10">
                        <c:v>46174</c:v>
                      </c:pt>
                      <c:pt idx="11">
                        <c:v>46204</c:v>
                      </c:pt>
                      <c:pt idx="12">
                        <c:v>46235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dashboard!$S$30:$S$42</c15:sqref>
                        </c15:formulaRef>
                      </c:ext>
                    </c:extLst>
                    <c:numCache>
                      <c:formatCode>_-* #,##0.000\ "₫"_-;\-* #,##0.000\ "₫"_-;_-* "-"??\ "₫"_-;_-@_-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4868-4646-8C81-2C42151A67B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dashboard!$T$29</c15:sqref>
                        </c15:formulaRef>
                      </c:ext>
                    </c:extLst>
                    <c:strCache>
                      <c:ptCount val="1"/>
                      <c:pt idx="0">
                        <c:v>savings rate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dashboard!$P$30:$P$42</c15:sqref>
                        </c15:formulaRef>
                      </c:ext>
                    </c:extLst>
                    <c:numCache>
                      <c:formatCode>[$-1010409]mmm\ yyyy</c:formatCode>
                      <c:ptCount val="13"/>
                      <c:pt idx="0">
                        <c:v>45870</c:v>
                      </c:pt>
                      <c:pt idx="1">
                        <c:v>45901</c:v>
                      </c:pt>
                      <c:pt idx="2">
                        <c:v>45931</c:v>
                      </c:pt>
                      <c:pt idx="3">
                        <c:v>45962</c:v>
                      </c:pt>
                      <c:pt idx="4">
                        <c:v>45992</c:v>
                      </c:pt>
                      <c:pt idx="5">
                        <c:v>46023</c:v>
                      </c:pt>
                      <c:pt idx="6">
                        <c:v>46054</c:v>
                      </c:pt>
                      <c:pt idx="7">
                        <c:v>46082</c:v>
                      </c:pt>
                      <c:pt idx="8">
                        <c:v>46113</c:v>
                      </c:pt>
                      <c:pt idx="9">
                        <c:v>46143</c:v>
                      </c:pt>
                      <c:pt idx="10">
                        <c:v>46174</c:v>
                      </c:pt>
                      <c:pt idx="11">
                        <c:v>46204</c:v>
                      </c:pt>
                      <c:pt idx="12">
                        <c:v>46235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dashboard!$T$30:$T$42</c15:sqref>
                        </c15:formulaRef>
                      </c:ext>
                    </c:extLst>
                    <c:numCache>
                      <c:formatCode>0.0%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868-4646-8C81-2C42151A67B8}"/>
                  </c:ext>
                </c:extLst>
              </c15:ser>
            </c15:filteredBarSeries>
          </c:ext>
        </c:extLst>
      </c:barChart>
      <c:dateAx>
        <c:axId val="364246528"/>
        <c:scaling>
          <c:orientation val="minMax"/>
        </c:scaling>
        <c:delete val="0"/>
        <c:axPos val="b"/>
        <c:numFmt formatCode="[$-1010409]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364254208"/>
        <c:crosses val="autoZero"/>
        <c:auto val="1"/>
        <c:lblOffset val="100"/>
        <c:baseTimeUnit val="months"/>
      </c:dateAx>
      <c:valAx>
        <c:axId val="364254208"/>
        <c:scaling>
          <c:orientation val="minMax"/>
        </c:scaling>
        <c:delete val="0"/>
        <c:axPos val="l"/>
        <c:numFmt formatCode="#,\ &quot;tr&quot;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364246528"/>
        <c:crosses val="autoZero"/>
        <c:crossBetween val="between"/>
        <c:majorUnit val="1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defRPr>
            </a:pPr>
            <a:r>
              <a:rPr lang="en-US" sz="140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funds</a:t>
            </a:r>
            <a:endParaRPr lang="vi-VN" sz="1400"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endParaRPr>
          </a:p>
        </c:rich>
      </c:tx>
      <c:layout>
        <c:manualLayout>
          <c:xMode val="edge"/>
          <c:yMode val="edge"/>
          <c:x val="0.41376060320452407"/>
          <c:y val="3.292181069958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defRPr>
          </a:pPr>
          <a:endParaRPr lang="vi-V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finance!$C$6</c:f>
              <c:strCache>
                <c:ptCount val="1"/>
                <c:pt idx="0">
                  <c:v>cash</c:v>
                </c:pt>
              </c:strCache>
            </c:strRef>
          </c:tx>
          <c:spPr>
            <a:solidFill>
              <a:srgbClr val="F2B5D4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finance!$C$7:$C$10</c:f>
              <c:numCache>
                <c:formatCode>#,##0.000\ "₫"</c:formatCode>
                <c:ptCount val="4"/>
                <c:pt idx="0">
                  <c:v>1000</c:v>
                </c:pt>
                <c:pt idx="1">
                  <c:v>1000</c:v>
                </c:pt>
                <c:pt idx="2">
                  <c:v>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5-4D12-861A-96F353C8E43A}"/>
            </c:ext>
          </c:extLst>
        </c:ser>
        <c:ser>
          <c:idx val="1"/>
          <c:order val="1"/>
          <c:tx>
            <c:strRef>
              <c:f>finance!$E$6</c:f>
              <c:strCache>
                <c:ptCount val="1"/>
                <c:pt idx="0">
                  <c:v>saving</c:v>
                </c:pt>
              </c:strCache>
            </c:strRef>
          </c:tx>
          <c:spPr>
            <a:solidFill>
              <a:srgbClr val="E05299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finance!$E$7:$E$10</c:f>
              <c:numCache>
                <c:formatCode>#,##0.000\ "₫"</c:formatCode>
                <c:ptCount val="4"/>
                <c:pt idx="0">
                  <c:v>1000.1315068493151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5-4D12-861A-96F353C8E43A}"/>
            </c:ext>
          </c:extLst>
        </c:ser>
        <c:ser>
          <c:idx val="2"/>
          <c:order val="2"/>
          <c:tx>
            <c:strRef>
              <c:f>finance!$G$6</c:f>
              <c:strCache>
                <c:ptCount val="1"/>
                <c:pt idx="0">
                  <c:v>fund cert</c:v>
                </c:pt>
              </c:strCache>
            </c:strRef>
          </c:tx>
          <c:spPr>
            <a:solidFill>
              <a:srgbClr val="82174D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finance!$G$7:$G$10</c:f>
              <c:numCache>
                <c:formatCode>#,##0.000\ "₫"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556.29100000000005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A5-4D12-861A-96F353C8E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7102816"/>
        <c:axId val="347113856"/>
      </c:barChart>
      <c:catAx>
        <c:axId val="347102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13856"/>
        <c:crosses val="autoZero"/>
        <c:auto val="1"/>
        <c:lblAlgn val="ctr"/>
        <c:lblOffset val="100"/>
        <c:noMultiLvlLbl val="0"/>
      </c:catAx>
      <c:valAx>
        <c:axId val="347113856"/>
        <c:scaling>
          <c:orientation val="minMax"/>
        </c:scaling>
        <c:delete val="0"/>
        <c:axPos val="b"/>
        <c:numFmt formatCode="#,\t\r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028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Montserrat Ligh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 sz="1100">
          <a:solidFill>
            <a:schemeClr val="bg1"/>
          </a:solidFill>
          <a:latin typeface="Montserrat Ligh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funds process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finance!$I$6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AD1F66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finance!$I$7:$I$10</c:f>
              <c:numCache>
                <c:formatCode>#,##0.000\ "₫"</c:formatCode>
                <c:ptCount val="4"/>
                <c:pt idx="0">
                  <c:v>2000.131506849315</c:v>
                </c:pt>
                <c:pt idx="1">
                  <c:v>1000</c:v>
                </c:pt>
                <c:pt idx="2">
                  <c:v>0</c:v>
                </c:pt>
                <c:pt idx="3">
                  <c:v>2556.2910000000002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AC-4205-8F12-73E14F341762}"/>
            </c:ext>
          </c:extLst>
        </c:ser>
        <c:ser>
          <c:idx val="1"/>
          <c:order val="1"/>
          <c:tx>
            <c:strRef>
              <c:f>finance!$J$6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rgbClr val="F0A8CC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finance!$J$7:$J$10</c:f>
              <c:numCache>
                <c:formatCode>#,##0.000\ "₫"</c:formatCode>
                <c:ptCount val="4"/>
                <c:pt idx="0">
                  <c:v>30000</c:v>
                </c:pt>
                <c:pt idx="1">
                  <c:v>13000</c:v>
                </c:pt>
                <c:pt idx="2">
                  <c:v>11000</c:v>
                </c:pt>
                <c:pt idx="3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AC-4205-8F12-73E14F341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2036415"/>
        <c:axId val="752034975"/>
      </c:barChart>
      <c:catAx>
        <c:axId val="7520364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52034975"/>
        <c:crosses val="autoZero"/>
        <c:auto val="1"/>
        <c:lblAlgn val="ctr"/>
        <c:lblOffset val="100"/>
        <c:noMultiLvlLbl val="0"/>
      </c:catAx>
      <c:valAx>
        <c:axId val="752034975"/>
        <c:scaling>
          <c:orientation val="minMax"/>
        </c:scaling>
        <c:delete val="0"/>
        <c:axPos val="b"/>
        <c:numFmt formatCode="#,\t\r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5203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264109260079677"/>
          <c:y val="0.9462816623517355"/>
          <c:w val="0.20717813314216976"/>
          <c:h val="4.5603881649061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fund</a:t>
            </a:r>
            <a:r>
              <a:rPr lang="en-US" baseline="0"/>
              <a:t> certificates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database!$J$6</c:f>
              <c:strCache>
                <c:ptCount val="1"/>
                <c:pt idx="0">
                  <c:v>principal</c:v>
                </c:pt>
              </c:strCache>
            </c:strRef>
          </c:tx>
          <c:spPr>
            <a:ln w="28575" cap="rnd">
              <a:solidFill>
                <a:srgbClr val="82174D"/>
              </a:solidFill>
              <a:round/>
            </a:ln>
            <a:effectLst/>
          </c:spPr>
          <c:marker>
            <c:symbol val="none"/>
          </c:marker>
          <c:cat>
            <c:numRef>
              <c:f>database!$I$7:$I$8</c:f>
              <c:numCache>
                <c:formatCode>[$-1010409]mmm\ yy</c:formatCode>
                <c:ptCount val="2"/>
                <c:pt idx="0">
                  <c:v>46204</c:v>
                </c:pt>
                <c:pt idx="1">
                  <c:v>46235</c:v>
                </c:pt>
              </c:numCache>
            </c:numRef>
          </c:cat>
          <c:val>
            <c:numRef>
              <c:f>database!$J$7:$J$8</c:f>
              <c:numCache>
                <c:formatCode>_-* #,##0.000\ "₫"_-;\-* #,##0.000\ "₫"_-;_-* "-"???\ "₫"_-;_-@_-</c:formatCode>
                <c:ptCount val="2"/>
                <c:pt idx="0">
                  <c:v>2000</c:v>
                </c:pt>
                <c:pt idx="1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74-4960-B6C5-04D5F0928A94}"/>
            </c:ext>
          </c:extLst>
        </c:ser>
        <c:ser>
          <c:idx val="1"/>
          <c:order val="1"/>
          <c:tx>
            <c:strRef>
              <c:f>database!$K$6</c:f>
              <c:strCache>
                <c:ptCount val="1"/>
                <c:pt idx="0">
                  <c:v>interest</c:v>
                </c:pt>
              </c:strCache>
            </c:strRef>
          </c:tx>
          <c:spPr>
            <a:ln w="28575" cap="rnd">
              <a:solidFill>
                <a:srgbClr val="F2B5D4"/>
              </a:solidFill>
              <a:round/>
            </a:ln>
            <a:effectLst/>
          </c:spPr>
          <c:marker>
            <c:symbol val="none"/>
          </c:marker>
          <c:cat>
            <c:numRef>
              <c:f>database!$I$7:$I$8</c:f>
              <c:numCache>
                <c:formatCode>[$-1010409]mmm\ yy</c:formatCode>
                <c:ptCount val="2"/>
                <c:pt idx="0">
                  <c:v>46204</c:v>
                </c:pt>
                <c:pt idx="1">
                  <c:v>46235</c:v>
                </c:pt>
              </c:numCache>
            </c:numRef>
          </c:cat>
          <c:val>
            <c:numRef>
              <c:f>database!$K$7:$K$8</c:f>
              <c:numCache>
                <c:formatCode>_-* #,##0.000\ "₫"_-;\-* #,##0.000\ "₫"_-;_-* "-"???\ "₫"_-;_-@_-</c:formatCode>
                <c:ptCount val="2"/>
                <c:pt idx="0">
                  <c:v>20</c:v>
                </c:pt>
                <c:pt idx="1">
                  <c:v>256.29100000000005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74-4960-B6C5-04D5F0928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6453583"/>
        <c:axId val="806452623"/>
      </c:lineChart>
      <c:dateAx>
        <c:axId val="806453583"/>
        <c:scaling>
          <c:orientation val="minMax"/>
        </c:scaling>
        <c:delete val="0"/>
        <c:axPos val="b"/>
        <c:numFmt formatCode="[$-1010409]mmm\ 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06452623"/>
        <c:crosses val="autoZero"/>
        <c:auto val="1"/>
        <c:lblOffset val="100"/>
        <c:baseTimeUnit val="months"/>
        <c:majorUnit val="4"/>
        <c:majorTimeUnit val="months"/>
      </c:dateAx>
      <c:valAx>
        <c:axId val="806452623"/>
        <c:scaling>
          <c:orientation val="minMax"/>
        </c:scaling>
        <c:delete val="0"/>
        <c:axPos val="l"/>
        <c:numFmt formatCode="#,\t\r" sourceLinked="0"/>
        <c:majorTickMark val="out"/>
        <c:minorTickMark val="none"/>
        <c:tickLblPos val="nextTo"/>
        <c:spPr>
          <a:noFill/>
          <a:ln w="6350">
            <a:solidFill>
              <a:srgbClr val="F2B5D4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806453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[finance-mng.xlsm]database!fund_type_percent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type of fund</a:t>
            </a:r>
            <a:endParaRPr lang="en-US"/>
          </a:p>
        </c:rich>
      </c:tx>
      <c:layout>
        <c:manualLayout>
          <c:xMode val="edge"/>
          <c:yMode val="edge"/>
          <c:x val="0.63053518518518514"/>
          <c:y val="0.111712962962962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7D4E6"/>
          </a:solidFill>
          <a:ln>
            <a:noFill/>
          </a:ln>
          <a:effectLst/>
        </c:spPr>
      </c:pivotFmt>
      <c:pivotFmt>
        <c:idx val="4"/>
        <c:spPr>
          <a:solidFill>
            <a:srgbClr val="E87DB3"/>
          </a:solidFill>
          <a:ln>
            <a:noFill/>
          </a:ln>
          <a:effectLst/>
        </c:spPr>
      </c:pivotFmt>
      <c:pivotFmt>
        <c:idx val="5"/>
        <c:spPr>
          <a:solidFill>
            <a:srgbClr val="AD1F66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0711504629629631"/>
          <c:y val="0.19900462962962964"/>
          <c:w val="0.37759711286089237"/>
          <c:h val="0.62932852143482065"/>
        </c:manualLayout>
      </c:layout>
      <c:doughnutChart>
        <c:varyColors val="1"/>
        <c:ser>
          <c:idx val="0"/>
          <c:order val="0"/>
          <c:tx>
            <c:strRef>
              <c:f>database!$Q$28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AD1F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EE-413E-9444-5402386E86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DEE-413E-9444-5402386E86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EE-413E-9444-5402386E8636}"/>
              </c:ext>
            </c:extLst>
          </c:dPt>
          <c:cat>
            <c:strRef>
              <c:f>database!$P$29:$P$30</c:f>
              <c:strCache>
                <c:ptCount val="1"/>
                <c:pt idx="0">
                  <c:v>stock</c:v>
                </c:pt>
              </c:strCache>
            </c:strRef>
          </c:cat>
          <c:val>
            <c:numRef>
              <c:f>database!$Q$29:$Q$30</c:f>
              <c:numCache>
                <c:formatCode>0.00%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E-413E-9444-5402386E8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674143518518517"/>
          <c:y val="0.30200046296296296"/>
          <c:w val="0.1516888888888889"/>
          <c:h val="0.44438657407407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vi-VN"/>
              <a:t>funds process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finance!$K$6</c:f>
              <c:strCache>
                <c:ptCount val="1"/>
                <c:pt idx="0">
                  <c:v>process</c:v>
                </c:pt>
              </c:strCache>
            </c:strRef>
          </c:tx>
          <c:spPr>
            <a:solidFill>
              <a:srgbClr val="E052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Montserrat" pitchFamily="2" charset="0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finance!$K$7:$K$10</c:f>
              <c:numCache>
                <c:formatCode>0.00%</c:formatCode>
                <c:ptCount val="4"/>
                <c:pt idx="0">
                  <c:v>6.6671050228310505E-2</c:v>
                </c:pt>
                <c:pt idx="1">
                  <c:v>7.6923076923076927E-2</c:v>
                </c:pt>
                <c:pt idx="2">
                  <c:v>0</c:v>
                </c:pt>
                <c:pt idx="3">
                  <c:v>5.1125820000000002E-2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2-470C-BCE5-230358CD0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2036415"/>
        <c:axId val="752034975"/>
      </c:barChart>
      <c:catAx>
        <c:axId val="7520364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52034975"/>
        <c:crosses val="autoZero"/>
        <c:auto val="1"/>
        <c:lblAlgn val="ctr"/>
        <c:lblOffset val="100"/>
        <c:noMultiLvlLbl val="0"/>
      </c:catAx>
      <c:valAx>
        <c:axId val="752034975"/>
        <c:scaling>
          <c:orientation val="minMax"/>
          <c:max val="1"/>
        </c:scaling>
        <c:delete val="0"/>
        <c:axPos val="b"/>
        <c:numFmt formatCode="0%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endParaRPr lang="vi-VN"/>
          </a:p>
        </c:txPr>
        <c:crossAx val="75203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264109260079677"/>
          <c:y val="0.9462816623517355"/>
          <c:w val="0.20717813314216976"/>
          <c:h val="4.5603881649061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defRPr>
            </a:pPr>
            <a:r>
              <a:rPr lang="en-US" sz="140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funds</a:t>
            </a:r>
            <a:r>
              <a:rPr lang="en-US" sz="1400" baseline="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 portfolio</a:t>
            </a:r>
            <a:endParaRPr lang="vi-VN" sz="1400"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endParaRPr>
          </a:p>
        </c:rich>
      </c:tx>
      <c:layout>
        <c:manualLayout>
          <c:xMode val="edge"/>
          <c:yMode val="edge"/>
          <c:x val="0.36607961391041993"/>
          <c:y val="3.6617374047756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defRPr>
          </a:pPr>
          <a:endParaRPr lang="vi-V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finance!$C$6</c:f>
              <c:strCache>
                <c:ptCount val="1"/>
                <c:pt idx="0">
                  <c:v>cash</c:v>
                </c:pt>
              </c:strCache>
            </c:strRef>
          </c:tx>
          <c:spPr>
            <a:solidFill>
              <a:srgbClr val="F2B5D4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finance!$C$7:$C$10</c:f>
              <c:numCache>
                <c:formatCode>#,##0.000\ "₫"</c:formatCode>
                <c:ptCount val="4"/>
                <c:pt idx="0">
                  <c:v>1000</c:v>
                </c:pt>
                <c:pt idx="1">
                  <c:v>1000</c:v>
                </c:pt>
                <c:pt idx="2">
                  <c:v>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9-468E-AD54-ADF17D86BA89}"/>
            </c:ext>
          </c:extLst>
        </c:ser>
        <c:ser>
          <c:idx val="1"/>
          <c:order val="1"/>
          <c:tx>
            <c:strRef>
              <c:f>finance!$E$6</c:f>
              <c:strCache>
                <c:ptCount val="1"/>
                <c:pt idx="0">
                  <c:v>saving</c:v>
                </c:pt>
              </c:strCache>
            </c:strRef>
          </c:tx>
          <c:spPr>
            <a:solidFill>
              <a:srgbClr val="E05299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finance!$E$7:$E$10</c:f>
              <c:numCache>
                <c:formatCode>#,##0.000\ "₫"</c:formatCode>
                <c:ptCount val="4"/>
                <c:pt idx="0">
                  <c:v>1000.1315068493151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9-468E-AD54-ADF17D86BA89}"/>
            </c:ext>
          </c:extLst>
        </c:ser>
        <c:ser>
          <c:idx val="2"/>
          <c:order val="2"/>
          <c:tx>
            <c:strRef>
              <c:f>finance!$G$6</c:f>
              <c:strCache>
                <c:ptCount val="1"/>
                <c:pt idx="0">
                  <c:v>fund cert</c:v>
                </c:pt>
              </c:strCache>
            </c:strRef>
          </c:tx>
          <c:spPr>
            <a:solidFill>
              <a:srgbClr val="82174D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finance!$G$7:$G$10</c:f>
              <c:numCache>
                <c:formatCode>#,##0.000\ "₫"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556.29100000000005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9-468E-AD54-ADF17D86B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7102816"/>
        <c:axId val="347113856"/>
      </c:barChart>
      <c:catAx>
        <c:axId val="347102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13856"/>
        <c:crosses val="autoZero"/>
        <c:auto val="1"/>
        <c:lblAlgn val="ctr"/>
        <c:lblOffset val="100"/>
        <c:noMultiLvlLbl val="0"/>
      </c:catAx>
      <c:valAx>
        <c:axId val="347113856"/>
        <c:scaling>
          <c:orientation val="minMax"/>
          <c:max val="30000"/>
        </c:scaling>
        <c:delete val="0"/>
        <c:axPos val="b"/>
        <c:numFmt formatCode="#,\t\r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028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Montserrat Ligh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 sz="1100">
          <a:solidFill>
            <a:schemeClr val="bg1"/>
          </a:solidFill>
          <a:latin typeface="Montserrat Ligh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defRPr>
            </a:pPr>
            <a:r>
              <a:rPr lang="en-US" sz="140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funds</a:t>
            </a:r>
            <a:r>
              <a:rPr lang="en-US" sz="1400" baseline="0">
                <a:latin typeface="Cascadia Mono SemiBold" panose="020B0609020000020004" pitchFamily="49" charset="0"/>
                <a:ea typeface="Cascadia Mono SemiBold" panose="020B0609020000020004" pitchFamily="49" charset="0"/>
                <a:cs typeface="Cascadia Mono SemiBold" panose="020B0609020000020004" pitchFamily="49" charset="0"/>
              </a:rPr>
              <a:t> %portfolio</a:t>
            </a:r>
            <a:endParaRPr lang="vi-VN" sz="1400"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endParaRPr>
          </a:p>
        </c:rich>
      </c:tx>
      <c:layout>
        <c:manualLayout>
          <c:xMode val="edge"/>
          <c:yMode val="edge"/>
          <c:x val="0.35524302960179394"/>
          <c:y val="3.6617374047756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Cascadia Mono SemiBold" panose="020B0609020000020004" pitchFamily="49" charset="0"/>
              <a:ea typeface="Cascadia Mono SemiBold" panose="020B0609020000020004" pitchFamily="49" charset="0"/>
              <a:cs typeface="Cascadia Mono SemiBold" panose="020B0609020000020004" pitchFamily="49" charset="0"/>
            </a:defRPr>
          </a:pPr>
          <a:endParaRPr lang="vi-VN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finance!$D$6</c:f>
              <c:strCache>
                <c:ptCount val="1"/>
                <c:pt idx="0">
                  <c:v>%cash</c:v>
                </c:pt>
              </c:strCache>
            </c:strRef>
          </c:tx>
          <c:spPr>
            <a:solidFill>
              <a:srgbClr val="F0A8CC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finance!$D$7:$D$10</c:f>
              <c:numCache>
                <c:formatCode>0.00%</c:formatCode>
                <c:ptCount val="4"/>
                <c:pt idx="0">
                  <c:v>0.49996712544928557</c:v>
                </c:pt>
                <c:pt idx="1">
                  <c:v>1</c:v>
                </c:pt>
                <c:pt idx="2">
                  <c:v>0</c:v>
                </c:pt>
                <c:pt idx="3">
                  <c:v>0.78238353927624038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F-4FEB-8625-5AAB5ED4FAB4}"/>
            </c:ext>
          </c:extLst>
        </c:ser>
        <c:ser>
          <c:idx val="1"/>
          <c:order val="1"/>
          <c:tx>
            <c:strRef>
              <c:f>finance!$F$6</c:f>
              <c:strCache>
                <c:ptCount val="1"/>
                <c:pt idx="0">
                  <c:v>%saving</c:v>
                </c:pt>
              </c:strCache>
            </c:strRef>
          </c:tx>
          <c:spPr>
            <a:solidFill>
              <a:srgbClr val="E05299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finance!$F$7:$F$10</c:f>
              <c:numCache>
                <c:formatCode>0.00%</c:formatCode>
                <c:ptCount val="4"/>
                <c:pt idx="0">
                  <c:v>0.50003287455071455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3F-4FEB-8625-5AAB5ED4FAB4}"/>
            </c:ext>
          </c:extLst>
        </c:ser>
        <c:ser>
          <c:idx val="2"/>
          <c:order val="2"/>
          <c:tx>
            <c:strRef>
              <c:f>finance!$H$6</c:f>
              <c:strCache>
                <c:ptCount val="1"/>
                <c:pt idx="0">
                  <c:v>%fund cert</c:v>
                </c:pt>
              </c:strCache>
            </c:strRef>
          </c:tx>
          <c:spPr>
            <a:solidFill>
              <a:srgbClr val="82174D"/>
            </a:solidFill>
            <a:ln>
              <a:noFill/>
            </a:ln>
            <a:effectLst/>
          </c:spPr>
          <c:invertIfNegative val="0"/>
          <c:cat>
            <c:strRef>
              <c:f>finance!$B$7:$B$10</c:f>
              <c:strCache>
                <c:ptCount val="4"/>
                <c:pt idx="0">
                  <c:v>emergency</c:v>
                </c:pt>
                <c:pt idx="1">
                  <c:v>health</c:v>
                </c:pt>
                <c:pt idx="2">
                  <c:v>target</c:v>
                </c:pt>
                <c:pt idx="3">
                  <c:v>retirement</c:v>
                </c:pt>
              </c:strCache>
            </c:strRef>
          </c:cat>
          <c:val>
            <c:numRef>
              <c:f>finance!$H$7:$H$10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0.21761646072375954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3F-4FEB-8625-5AAB5ED4F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7102816"/>
        <c:axId val="347113856"/>
      </c:barChart>
      <c:catAx>
        <c:axId val="347102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13856"/>
        <c:crosses val="autoZero"/>
        <c:auto val="1"/>
        <c:lblAlgn val="ctr"/>
        <c:lblOffset val="100"/>
        <c:noMultiLvlLbl val="0"/>
      </c:catAx>
      <c:valAx>
        <c:axId val="347113856"/>
        <c:scaling>
          <c:orientation val="minMax"/>
          <c:max val="1"/>
        </c:scaling>
        <c:delete val="0"/>
        <c:axPos val="b"/>
        <c:numFmt formatCode="0%" sourceLinked="0"/>
        <c:majorTickMark val="out"/>
        <c:minorTickMark val="none"/>
        <c:tickLblPos val="nextTo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Montserrat Light" pitchFamily="2" charset="0"/>
                <a:ea typeface="+mn-ea"/>
                <a:cs typeface="+mn-cs"/>
              </a:defRPr>
            </a:pPr>
            <a:endParaRPr lang="vi-VN"/>
          </a:p>
        </c:txPr>
        <c:crossAx val="3471028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Montserrat Ligh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 sz="1100">
          <a:solidFill>
            <a:schemeClr val="bg1"/>
          </a:solidFill>
          <a:latin typeface="Montserrat Ligh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[finance-mng.xlsm]database!fund_name_percent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Montserrat" pitchFamily="2" charset="0"/>
                <a:ea typeface="+mn-ea"/>
                <a:cs typeface="+mn-cs"/>
              </a:defRPr>
            </a:pPr>
            <a:r>
              <a:rPr lang="en-US"/>
              <a:t>fund</a:t>
            </a:r>
          </a:p>
        </c:rich>
      </c:tx>
      <c:layout>
        <c:manualLayout>
          <c:xMode val="edge"/>
          <c:yMode val="edge"/>
          <c:x val="0.62772013888888889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7D4E6"/>
          </a:solidFill>
          <a:ln w="19050">
            <a:noFill/>
          </a:ln>
          <a:effectLst/>
        </c:spPr>
      </c:pivotFmt>
      <c:pivotFmt>
        <c:idx val="2"/>
        <c:spPr>
          <a:solidFill>
            <a:srgbClr val="F0A8CC"/>
          </a:solidFill>
          <a:ln w="19050">
            <a:noFill/>
          </a:ln>
          <a:effectLst/>
        </c:spPr>
      </c:pivotFmt>
      <c:pivotFmt>
        <c:idx val="3"/>
        <c:spPr>
          <a:solidFill>
            <a:srgbClr val="E87DB3"/>
          </a:solidFill>
          <a:ln w="19050">
            <a:noFill/>
          </a:ln>
          <a:effectLst/>
        </c:spPr>
      </c:pivotFmt>
      <c:pivotFmt>
        <c:idx val="4"/>
        <c:spPr>
          <a:solidFill>
            <a:srgbClr val="E05299"/>
          </a:solidFill>
          <a:ln w="19050">
            <a:noFill/>
          </a:ln>
          <a:effectLst/>
        </c:spPr>
      </c:pivotFmt>
      <c:pivotFmt>
        <c:idx val="5"/>
        <c:spPr>
          <a:solidFill>
            <a:srgbClr val="D92680"/>
          </a:solidFill>
          <a:ln w="19050">
            <a:noFill/>
          </a:ln>
          <a:effectLst/>
        </c:spPr>
      </c:pivotFmt>
      <c:pivotFmt>
        <c:idx val="6"/>
        <c:spPr>
          <a:solidFill>
            <a:srgbClr val="AD1F66"/>
          </a:solidFill>
          <a:ln w="19050">
            <a:noFill/>
          </a:ln>
          <a:effectLst/>
        </c:spPr>
      </c:pivotFmt>
      <c:pivotFmt>
        <c:idx val="7"/>
        <c:spPr>
          <a:solidFill>
            <a:srgbClr val="82174D"/>
          </a:solidFill>
          <a:ln w="19050">
            <a:noFill/>
          </a:ln>
          <a:effectLst/>
        </c:spPr>
      </c:pivotFmt>
      <c:pivotFmt>
        <c:idx val="8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D4E6"/>
          </a:solidFill>
          <a:ln w="19050">
            <a:noFill/>
          </a:ln>
          <a:effectLst/>
        </c:spPr>
      </c:pivotFmt>
      <c:pivotFmt>
        <c:idx val="10"/>
        <c:spPr>
          <a:solidFill>
            <a:srgbClr val="F0A8CC"/>
          </a:solidFill>
          <a:ln w="19050">
            <a:noFill/>
          </a:ln>
          <a:effectLst/>
        </c:spPr>
      </c:pivotFmt>
      <c:pivotFmt>
        <c:idx val="11"/>
        <c:spPr>
          <a:solidFill>
            <a:srgbClr val="E87DB3"/>
          </a:solidFill>
          <a:ln w="19050">
            <a:noFill/>
          </a:ln>
          <a:effectLst/>
        </c:spPr>
      </c:pivotFmt>
      <c:pivotFmt>
        <c:idx val="12"/>
        <c:spPr>
          <a:solidFill>
            <a:srgbClr val="E05299"/>
          </a:solidFill>
          <a:ln w="19050">
            <a:noFill/>
          </a:ln>
          <a:effectLst/>
        </c:spPr>
      </c:pivotFmt>
      <c:pivotFmt>
        <c:idx val="13"/>
        <c:spPr>
          <a:solidFill>
            <a:srgbClr val="D92680"/>
          </a:solidFill>
          <a:ln w="19050">
            <a:noFill/>
          </a:ln>
          <a:effectLst/>
        </c:spPr>
      </c:pivotFmt>
      <c:pivotFmt>
        <c:idx val="14"/>
        <c:spPr>
          <a:solidFill>
            <a:srgbClr val="AD1F66"/>
          </a:solidFill>
          <a:ln w="19050">
            <a:noFill/>
          </a:ln>
          <a:effectLst/>
        </c:spPr>
      </c:pivotFmt>
      <c:pivotFmt>
        <c:idx val="15"/>
        <c:spPr>
          <a:solidFill>
            <a:srgbClr val="82174D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" pitchFamily="2" charset="0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7D4E6"/>
          </a:solidFill>
          <a:ln w="19050">
            <a:noFill/>
          </a:ln>
          <a:effectLst/>
        </c:spPr>
      </c:pivotFmt>
      <c:pivotFmt>
        <c:idx val="18"/>
        <c:spPr>
          <a:solidFill>
            <a:srgbClr val="F0A8CC"/>
          </a:solidFill>
          <a:ln w="19050">
            <a:noFill/>
          </a:ln>
          <a:effectLst/>
        </c:spPr>
      </c:pivotFmt>
      <c:pivotFmt>
        <c:idx val="19"/>
        <c:spPr>
          <a:solidFill>
            <a:srgbClr val="E87DB3"/>
          </a:solidFill>
          <a:ln w="19050">
            <a:noFill/>
          </a:ln>
          <a:effectLst/>
        </c:spPr>
      </c:pivotFmt>
      <c:pivotFmt>
        <c:idx val="20"/>
        <c:spPr>
          <a:solidFill>
            <a:srgbClr val="E05299"/>
          </a:solidFill>
          <a:ln w="19050">
            <a:noFill/>
          </a:ln>
          <a:effectLst/>
        </c:spPr>
      </c:pivotFmt>
      <c:pivotFmt>
        <c:idx val="21"/>
        <c:spPr>
          <a:solidFill>
            <a:srgbClr val="D92680"/>
          </a:solidFill>
          <a:ln w="19050">
            <a:noFill/>
          </a:ln>
          <a:effectLst/>
        </c:spPr>
      </c:pivotFmt>
      <c:pivotFmt>
        <c:idx val="22"/>
        <c:spPr>
          <a:solidFill>
            <a:srgbClr val="AD1F66"/>
          </a:solidFill>
          <a:ln w="19050">
            <a:noFill/>
          </a:ln>
          <a:effectLst/>
        </c:spPr>
      </c:pivotFmt>
      <c:pivotFmt>
        <c:idx val="23"/>
        <c:spPr>
          <a:solidFill>
            <a:srgbClr val="82174D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9.1656944444444458E-2"/>
          <c:y val="0.18853055555555556"/>
          <c:w val="0.35869768518518519"/>
          <c:h val="0.71739537037037038"/>
        </c:manualLayout>
      </c:layout>
      <c:doughnutChart>
        <c:varyColors val="1"/>
        <c:ser>
          <c:idx val="0"/>
          <c:order val="0"/>
          <c:tx>
            <c:strRef>
              <c:f>database!$N$28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7D4E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0A-438C-8512-4BB3F866A25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0A-438C-8512-4BB3F866A25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0A-438C-8512-4BB3F866A25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0A-438C-8512-4BB3F866A25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0A-438C-8512-4BB3F866A25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0A-438C-8512-4BB3F866A25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0A-438C-8512-4BB3F866A25A}"/>
              </c:ext>
            </c:extLst>
          </c:dPt>
          <c:cat>
            <c:strRef>
              <c:f>database!$M$29:$M$30</c:f>
              <c:strCache>
                <c:ptCount val="1"/>
                <c:pt idx="0">
                  <c:v>DCDS</c:v>
                </c:pt>
              </c:strCache>
            </c:strRef>
          </c:cat>
          <c:val>
            <c:numRef>
              <c:f>database!$N$29:$N$30</c:f>
              <c:numCache>
                <c:formatCode>0.00%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0A-438C-8512-4BB3F866A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172268518518517"/>
          <c:y val="0.39297083333333327"/>
          <c:w val="0.40911064814814813"/>
          <c:h val="0.35824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ontserrat" pitchFamily="2" charset="0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rgbClr val="F2B5D4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Montserrat" pitchFamily="2" charset="0"/>
        </a:defRPr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108857</xdr:colOff>
      <xdr:row>5</xdr:row>
      <xdr:rowOff>162355</xdr:rowOff>
    </xdr:from>
    <xdr:to>
      <xdr:col>9</xdr:col>
      <xdr:colOff>1834241</xdr:colOff>
      <xdr:row>12</xdr:row>
      <xdr:rowOff>244928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4656-BBC7-4D4C-A8D8-D46B569D38D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4762</xdr:colOff>
      <xdr:row>17</xdr:row>
      <xdr:rowOff>76200</xdr:rowOff>
    </xdr:from>
    <xdr:to>
      <xdr:col>9</xdr:col>
      <xdr:colOff>1631645</xdr:colOff>
      <xdr:row>23</xdr:row>
      <xdr:rowOff>58336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DE404F-02CA-802F-D251-C077B4A9B0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150046</xdr:colOff>
      <xdr:row>27</xdr:row>
      <xdr:rowOff>128763</xdr:rowOff>
    </xdr:from>
    <xdr:to>
      <xdr:col>13</xdr:col>
      <xdr:colOff>356605</xdr:colOff>
      <xdr:row>42</xdr:row>
      <xdr:rowOff>39686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6E07DA9-3090-C19F-68CF-A4BF61871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78501</xdr:colOff>
      <xdr:row>16</xdr:row>
      <xdr:rowOff>76058</xdr:rowOff>
    </xdr:from>
    <xdr:to>
      <xdr:col>2</xdr:col>
      <xdr:colOff>1232751</xdr:colOff>
      <xdr:row>22</xdr:row>
      <xdr:rowOff>167413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97E1FD7-EACB-4149-A992-62E3212078A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166401</xdr:colOff>
      <xdr:row>5</xdr:row>
      <xdr:rowOff>147803</xdr:rowOff>
    </xdr:from>
    <xdr:to>
      <xdr:col>7</xdr:col>
      <xdr:colOff>97545</xdr:colOff>
      <xdr:row>15</xdr:row>
      <xdr:rowOff>38101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C42AEF6-0BB5-4EED-A379-1DF3111827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255985</xdr:colOff>
      <xdr:row>64</xdr:row>
      <xdr:rowOff>106761</xdr:rowOff>
    </xdr:from>
    <xdr:to>
      <xdr:col>8</xdr:col>
      <xdr:colOff>333191</xdr:colOff>
      <xdr:row>77</xdr:row>
      <xdr:rowOff>73232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C26B001-38E8-4138-88C6-8BE8585FB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255985</xdr:colOff>
      <xdr:row>77</xdr:row>
      <xdr:rowOff>98701</xdr:rowOff>
    </xdr:from>
    <xdr:to>
      <xdr:col>8</xdr:col>
      <xdr:colOff>333191</xdr:colOff>
      <xdr:row>92</xdr:row>
      <xdr:rowOff>65171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550B180-1CA8-41A7-855D-2994787A9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9</xdr:col>
      <xdr:colOff>574647</xdr:colOff>
      <xdr:row>64</xdr:row>
      <xdr:rowOff>106761</xdr:rowOff>
    </xdr:from>
    <xdr:to>
      <xdr:col>15</xdr:col>
      <xdr:colOff>1057161</xdr:colOff>
      <xdr:row>77</xdr:row>
      <xdr:rowOff>73232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B1F5C2B-5ACC-41EC-A287-6B908886FF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9</xdr:col>
      <xdr:colOff>574647</xdr:colOff>
      <xdr:row>77</xdr:row>
      <xdr:rowOff>98701</xdr:rowOff>
    </xdr:from>
    <xdr:to>
      <xdr:col>15</xdr:col>
      <xdr:colOff>1057161</xdr:colOff>
      <xdr:row>92</xdr:row>
      <xdr:rowOff>65171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97B7E7E-AE14-4FA1-913C-752F8FE11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198438</xdr:colOff>
      <xdr:row>43</xdr:row>
      <xdr:rowOff>0</xdr:rowOff>
    </xdr:from>
    <xdr:to>
      <xdr:col>20</xdr:col>
      <xdr:colOff>66418</xdr:colOff>
      <xdr:row>62</xdr:row>
      <xdr:rowOff>59532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0E03344-DAAA-4A2E-914F-4DA3A671B6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317500</xdr:colOff>
      <xdr:row>95</xdr:row>
      <xdr:rowOff>160421</xdr:rowOff>
    </xdr:from>
    <xdr:to>
      <xdr:col>11</xdr:col>
      <xdr:colOff>876289</xdr:colOff>
      <xdr:row>114</xdr:row>
      <xdr:rowOff>98921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17ED4F11-6BB6-4110-ADA0-9A5005EF26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421104</xdr:colOff>
      <xdr:row>3</xdr:row>
      <xdr:rowOff>217571</xdr:rowOff>
    </xdr:from>
    <xdr:to>
      <xdr:col>20</xdr:col>
      <xdr:colOff>290763</xdr:colOff>
      <xdr:row>23</xdr:row>
      <xdr:rowOff>217714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423CCA3E-65FC-8343-F63D-CA8939B7F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12</xdr:col>
      <xdr:colOff>432317</xdr:colOff>
      <xdr:row>95</xdr:row>
      <xdr:rowOff>160421</xdr:rowOff>
    </xdr:from>
    <xdr:to>
      <xdr:col>20</xdr:col>
      <xdr:colOff>340152</xdr:colOff>
      <xdr:row>114</xdr:row>
      <xdr:rowOff>98921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A52B868A-4F4C-4D54-ADDC-5F291CCE7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74</xdr:row>
      <xdr:rowOff>83820</xdr:rowOff>
    </xdr:from>
    <xdr:to>
      <xdr:col>13</xdr:col>
      <xdr:colOff>639540</xdr:colOff>
      <xdr:row>83</xdr:row>
      <xdr:rowOff>199755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F585E3-4AB4-44F7-BB63-3ED6908E21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41</xdr:row>
      <xdr:rowOff>53340</xdr:rowOff>
    </xdr:from>
    <xdr:to>
      <xdr:col>13</xdr:col>
      <xdr:colOff>639540</xdr:colOff>
      <xdr:row>55</xdr:row>
      <xdr:rowOff>136800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B7A25F-E93E-4007-8C11-CCBABC8DF3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361140</xdr:colOff>
      <xdr:row>38</xdr:row>
      <xdr:rowOff>171000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6213521-FBB9-43B4-8CFB-0FDC7F808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7</xdr:col>
      <xdr:colOff>103140</xdr:colOff>
      <xdr:row>20</xdr:row>
      <xdr:rowOff>0</xdr:rowOff>
    </xdr:from>
    <xdr:to>
      <xdr:col>13</xdr:col>
      <xdr:colOff>639540</xdr:colOff>
      <xdr:row>38</xdr:row>
      <xdr:rowOff>171000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B30040B-D68B-476A-BBE2-354CED0BE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9</xdr:col>
      <xdr:colOff>190500</xdr:colOff>
      <xdr:row>60</xdr:row>
      <xdr:rowOff>70440</xdr:rowOff>
    </xdr:from>
    <xdr:to>
      <xdr:col>13</xdr:col>
      <xdr:colOff>639540</xdr:colOff>
      <xdr:row>69</xdr:row>
      <xdr:rowOff>173040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5B12A-CD81-4D23-B471-67DC59396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60.605792245369" createdVersion="8" refreshedVersion="8" minRefreshableVersion="3" recordCount="0" supportSubquery="1" supportAdvancedDrill="1" xr:uid="{EE718065-E24C-41C3-BA2C-405FF18751AD}">
  <cacheSource type="external" connectionId="4"/>
  <cacheFields count="4">
    <cacheField name="[transactions].[category].[category]" caption="category" numFmtId="0" hierarchy="22" level="1">
      <sharedItems count="5">
        <s v="basic transit"/>
        <s v="dining out"/>
        <s v="food &amp; groceries"/>
        <s v="housing"/>
        <s v="travel &amp; vacation"/>
      </sharedItems>
    </cacheField>
    <cacheField name="[transactions].[this month].[this month]" caption="this month" numFmtId="0" hierarchy="23" level="1">
      <sharedItems containsSemiMixedTypes="0" containsNonDate="0" containsString="0"/>
    </cacheField>
    <cacheField name="[Measures].[Sum of flow]" caption="Sum of flow" numFmtId="0" hierarchy="33" level="32767"/>
    <cacheField name="[transactions].[type].[type]" caption="type" numFmtId="0" hierarchy="20" level="1">
      <sharedItems containsSemiMixedTypes="0" containsNonDate="0" containsString="0"/>
    </cacheField>
  </cacheFields>
  <cacheHierarchies count="38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3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1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60.605796064818" createdVersion="8" refreshedVersion="8" minRefreshableVersion="3" recordCount="0" supportSubquery="1" supportAdvancedDrill="1" xr:uid="{058B39B4-2ED7-452F-A863-6DEC5CA7A2FE}">
  <cacheSource type="external" connectionId="4"/>
  <cacheFields count="4">
    <cacheField name="[transactions].[category].[category]" caption="category" numFmtId="0" hierarchy="22" level="1">
      <sharedItems count="4">
        <s v="base salary &amp; allowances"/>
        <s v="dividends &amp; profits"/>
        <s v="family allowance"/>
        <s v="reimbursement"/>
      </sharedItems>
    </cacheField>
    <cacheField name="[transactions].[this month].[this month]" caption="this month" numFmtId="0" hierarchy="23" level="1">
      <sharedItems containsSemiMixedTypes="0" containsNonDate="0" containsString="0"/>
    </cacheField>
    <cacheField name="[Measures].[Sum of flow]" caption="Sum of flow" numFmtId="0" hierarchy="33" level="32767"/>
    <cacheField name="[transactions].[type].[type]" caption="type" numFmtId="0" hierarchy="20" level="1">
      <sharedItems containsSemiMixedTypes="0" containsNonDate="0" containsString="0"/>
    </cacheField>
  </cacheFields>
  <cacheHierarchies count="38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5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5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3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1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]" caption="Sum of amount" measure="1" displayFolder="" measureGroup="transac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flow]" caption="Sum of flow" measure="1" displayFolder="" measureGroup="transaction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60.610734490743" createdVersion="8" refreshedVersion="8" minRefreshableVersion="3" recordCount="0" supportSubquery="1" supportAdvancedDrill="1" xr:uid="{A5AAB085-E580-4E20-A914-BC2357CA0341}">
  <cacheSource type="external" connectionId="4"/>
  <cacheFields count="3">
    <cacheField name="[debt].[person].[person]" caption="person" numFmtId="0" hierarchy="2" level="1">
      <sharedItems count="1">
        <s v="A"/>
      </sharedItems>
    </cacheField>
    <cacheField name="[debt].[batch].[batch]" caption="batch" numFmtId="0" hierarchy="1" level="1">
      <sharedItems count="4">
        <s v="LEND_C_001"/>
        <s v="LEND_A_001"/>
        <s v="BORROW_D_001"/>
        <s v="BORROW_B_001"/>
      </sharedItems>
    </cacheField>
    <cacheField name="[Measures].[Sum of amount 2]" caption="Sum of amount 2" numFmtId="0" hierarchy="36" level="32767"/>
  </cacheFields>
  <cacheHierarchies count="37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2" memberValueDatatype="130" unbalanced="0">
      <fieldsUsage count="2">
        <fieldUsage x="-1"/>
        <fieldUsage x="1"/>
      </fieldsUsage>
    </cacheHierarchy>
    <cacheHierarchy uniqueName="[debt].[person]" caption="person" attribute="1" defaultMemberUniqueName="[debt].[person].[All]" allUniqueName="[debt].[person].[All]" dimensionUniqueName="[debt]" displayFolder="" count="2" memberValueDatatype="130" unbalanced="0">
      <fieldsUsage count="2">
        <fieldUsage x="-1"/>
        <fieldUsage x="0"/>
      </fieldsUsage>
    </cacheHierarchy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20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130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0" memberValueDatatype="130" unbalanced="0"/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0" memberValueDatatype="11" unbalanced="0"/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60.610796759262" createdVersion="5" refreshedVersion="8" minRefreshableVersion="3" recordCount="0" supportSubquery="1" supportAdvancedDrill="1" xr:uid="{BA551445-A2AC-42FE-BC6C-670BFCA8D231}">
  <cacheSource type="external" connectionId="4"/>
  <cacheFields count="4">
    <cacheField name="[transactions].[group].[group]" caption="group" numFmtId="0" hierarchy="21" level="1">
      <sharedItems count="1">
        <s v="essentials"/>
      </sharedItems>
    </cacheField>
    <cacheField name="[transactions].[category].[category]" caption="category" numFmtId="0" hierarchy="22" level="1">
      <sharedItems count="4">
        <s v="dividends &amp; profits"/>
        <s v="base salary &amp; allowances"/>
        <s v="family allowance"/>
        <s v="reimbursement"/>
      </sharedItems>
    </cacheField>
    <cacheField name="[transactions].[type].[type]" caption="type" numFmtId="0" hierarchy="20" level="1">
      <sharedItems containsSemiMixedTypes="0" containsNonDate="0" containsString="0"/>
    </cacheField>
    <cacheField name="[transactions].[this month].[this month]" caption="this month" numFmtId="0" hierarchy="23" level="1">
      <sharedItems containsSemiMixedTypes="0" containsNonDate="0" containsString="0"/>
    </cacheField>
  </cacheFields>
  <cacheHierarchies count="37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20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130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2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category]" caption="category" attribute="1" defaultMemberUniqueName="[transactions].[category].[All]" allUniqueName="[transactions].[category].[All]" dimensionUniqueName="[transactions]" displayFolder="" count="2" memberValueDatatype="130" unbalanced="0">
      <fieldsUsage count="2">
        <fieldUsage x="-1"/>
        <fieldUsage x="1"/>
      </fieldsUsage>
    </cacheHierarchy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3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60.610797569447" createdVersion="8" refreshedVersion="8" minRefreshableVersion="3" recordCount="0" supportSubquery="1" supportAdvancedDrill="1" xr:uid="{BCF4A0A9-7EB9-4445-BAF6-8C7926CB7609}">
  <cacheSource type="external" connectionId="4"/>
  <cacheFields count="3">
    <cacheField name="[transactions].[group].[group]" caption="group" numFmtId="0" hierarchy="21" level="1">
      <sharedItems count="1">
        <s v="essentials"/>
      </sharedItems>
    </cacheField>
    <cacheField name="[transactions].[this month].[this month]" caption="this month" numFmtId="0" hierarchy="23" level="1">
      <sharedItems containsSemiMixedTypes="0" containsNonDate="0" containsString="0"/>
    </cacheField>
    <cacheField name="[transactions].[type].[type]" caption="type" numFmtId="0" hierarchy="20" level="1">
      <sharedItems containsSemiMixedTypes="0" containsNonDate="0" containsString="0"/>
    </cacheField>
  </cacheFields>
  <cacheHierarchies count="37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20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130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2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1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60.610798495371" createdVersion="8" refreshedVersion="8" minRefreshableVersion="3" recordCount="0" supportSubquery="1" supportAdvancedDrill="1" xr:uid="{E7141D31-3EA8-471B-BA10-1C77C53B322F}">
  <cacheSource type="external" connectionId="4"/>
  <cacheFields count="3">
    <cacheField name="[transactions].[group].[group]" caption="group" numFmtId="0" hierarchy="21" level="1">
      <sharedItems count="1">
        <s v="essentials"/>
      </sharedItems>
    </cacheField>
    <cacheField name="[transactions].[this month].[this month]" caption="this month" numFmtId="0" hierarchy="23" level="1">
      <sharedItems containsSemiMixedTypes="0" containsNonDate="0" containsString="0"/>
    </cacheField>
    <cacheField name="[transactions].[type].[type]" caption="type" numFmtId="0" hierarchy="20" level="1">
      <sharedItems containsSemiMixedTypes="0" containsNonDate="0" containsString="0"/>
    </cacheField>
  </cacheFields>
  <cacheHierarchies count="37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20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130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2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1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60.610799421294" createdVersion="5" refreshedVersion="8" minRefreshableVersion="3" recordCount="0" supportSubquery="1" supportAdvancedDrill="1" xr:uid="{C205E182-C9BB-426D-A48E-C0DD13AE6FE9}">
  <cacheSource type="external" connectionId="4"/>
  <cacheFields count="4">
    <cacheField name="[transactions].[group].[group]" caption="group" numFmtId="0" hierarchy="21" level="1">
      <sharedItems count="1">
        <s v="essentials"/>
      </sharedItems>
    </cacheField>
    <cacheField name="[transactions].[category].[category]" caption="category" numFmtId="0" hierarchy="22" level="1">
      <sharedItems count="1">
        <s v="housing"/>
      </sharedItems>
    </cacheField>
    <cacheField name="[transactions].[type].[type]" caption="type" numFmtId="0" hierarchy="20" level="1">
      <sharedItems containsSemiMixedTypes="0" containsNonDate="0" containsString="0"/>
    </cacheField>
    <cacheField name="[transactions].[this month].[this month]" caption="this month" numFmtId="0" hierarchy="23" level="1">
      <sharedItems containsSemiMixedTypes="0" containsNonDate="0" containsString="0"/>
    </cacheField>
  </cacheFields>
  <cacheHierarchies count="37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20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130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2" memberValueDatatype="130" unbalanced="0">
      <fieldsUsage count="2">
        <fieldUsage x="-1"/>
        <fieldUsage x="2"/>
      </fieldsUsage>
    </cacheHierarchy>
    <cacheHierarchy uniqueName="[transactions].[group]" caption="group" attribute="1" defaultMemberUniqueName="[transactions].[group].[All]" allUniqueName="[transactions].[group].[All]" dimensionUniqueName="[transactions]" displayFolder="" count="2" memberValueDatatype="130" unbalanced="0">
      <fieldsUsage count="2">
        <fieldUsage x="-1"/>
        <fieldUsage x="0"/>
      </fieldsUsage>
    </cacheHierarchy>
    <cacheHierarchy uniqueName="[transactions].[category]" caption="category" attribute="1" defaultMemberUniqueName="[transactions].[category].[All]" allUniqueName="[transactions].[category].[All]" dimensionUniqueName="[transactions]" displayFolder="" count="2" memberValueDatatype="130" unbalanced="0">
      <fieldsUsage count="2">
        <fieldUsage x="-1"/>
        <fieldUsage x="1"/>
      </fieldsUsage>
    </cacheHierarchy>
    <cacheHierarchy uniqueName="[transactions].[this month]" caption="this month" attribute="1" defaultMemberUniqueName="[transactions].[this month].[All]" allUniqueName="[transactions].[this month].[All]" dimensionUniqueName="[transactions]" displayFolder="" count="2" memberValueDatatype="11" unbalanced="0">
      <fieldsUsage count="2">
        <fieldUsage x="-1"/>
        <fieldUsage x="3"/>
      </fieldsUsage>
    </cacheHierarchy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60.610800115741" createdVersion="8" refreshedVersion="8" minRefreshableVersion="3" recordCount="0" supportSubquery="1" supportAdvancedDrill="1" xr:uid="{38476C9A-D92A-4EA9-AE6E-CF4E3BB1E088}">
  <cacheSource type="external" connectionId="4"/>
  <cacheFields count="2">
    <cacheField name="[fund_certs].[type].[type]" caption="type" numFmtId="0" hierarchy="11" level="1">
      <sharedItems count="1">
        <s v="stock"/>
      </sharedItems>
    </cacheField>
    <cacheField name="[Measures].[Sum of balance]" caption="Sum of balance" numFmtId="0" hierarchy="33" level="32767"/>
  </cacheFields>
  <cacheHierarchies count="37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0" memberValueDatatype="130" unbalanced="0"/>
    <cacheHierarchy uniqueName="[fund_certs].[type]" caption="type" attribute="1" defaultMemberUniqueName="[fund_certs].[type].[All]" allUniqueName="[fund_certs].[type].[All]" dimensionUniqueName="[fund_certs]" displayFolder="" count="2" memberValueDatatype="130" unbalanced="0">
      <fieldsUsage count="2">
        <fieldUsage x="-1"/>
        <fieldUsage x="0"/>
      </fieldsUsage>
    </cacheHierarchy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20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130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0" memberValueDatatype="130" unbalanced="0"/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0" memberValueDatatype="11" unbalanced="0"/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nh Lee" refreshedDate="46260.610800925926" backgroundQuery="1" createdVersion="8" refreshedVersion="8" minRefreshableVersion="3" recordCount="0" supportSubquery="1" supportAdvancedDrill="1" xr:uid="{5862B1D9-99D3-4E89-A8ED-7245B65DEAC3}">
  <cacheSource type="external" connectionId="4"/>
  <cacheFields count="2">
    <cacheField name="[fund_certs].[name].[name]" caption="name" numFmtId="0" hierarchy="10" level="1">
      <sharedItems count="1">
        <s v="DCDS"/>
      </sharedItems>
    </cacheField>
    <cacheField name="[Measures].[Sum of balance]" caption="Sum of balance" numFmtId="0" hierarchy="33" level="32767"/>
  </cacheFields>
  <cacheHierarchies count="37">
    <cacheHierarchy uniqueName="[debt].[date]" caption="date" attribute="1" time="1" defaultMemberUniqueName="[debt].[date].[All]" allUniqueName="[debt].[date].[All]" dimensionUniqueName="[debt]" displayFolder="" count="0" memberValueDatatype="7" unbalanced="0"/>
    <cacheHierarchy uniqueName="[debt].[batch]" caption="batch" attribute="1" defaultMemberUniqueName="[debt].[batch].[All]" allUniqueName="[debt].[batch].[All]" dimensionUniqueName="[debt]" displayFolder="" count="0" memberValueDatatype="130" unbalanced="0"/>
    <cacheHierarchy uniqueName="[debt].[person]" caption="person" attribute="1" defaultMemberUniqueName="[debt].[person].[All]" allUniqueName="[debt].[person].[All]" dimensionUniqueName="[debt]" displayFolder="" count="0" memberValueDatatype="130" unbalanced="0"/>
    <cacheHierarchy uniqueName="[debt].[type]" caption="type" attribute="1" defaultMemberUniqueName="[debt].[type].[All]" allUniqueName="[debt].[type].[All]" dimensionUniqueName="[debt]" displayFolder="" count="0" memberValueDatatype="130" unbalanced="0"/>
    <cacheHierarchy uniqueName="[debt].[amount]" caption="amount" attribute="1" defaultMemberUniqueName="[debt].[amount].[All]" allUniqueName="[debt].[amount].[All]" dimensionUniqueName="[debt]" displayFolder="" count="0" memberValueDatatype="20" unbalanced="0"/>
    <cacheHierarchy uniqueName="[debt].[wallet]" caption="wallet" attribute="1" defaultMemberUniqueName="[debt].[wallet].[All]" allUniqueName="[debt].[wallet].[All]" dimensionUniqueName="[debt]" displayFolder="" count="0" memberValueDatatype="130" unbalanced="0"/>
    <cacheHierarchy uniqueName="[debt].[note]" caption="note" attribute="1" defaultMemberUniqueName="[debt].[note].[All]" allUniqueName="[debt].[note].[All]" dimensionUniqueName="[debt]" displayFolder="" count="0" memberValueDatatype="130" unbalanced="0"/>
    <cacheHierarchy uniqueName="[debt].[receivable]" caption="receivable" attribute="1" defaultMemberUniqueName="[debt].[receivable].[All]" allUniqueName="[debt].[receivable].[All]" dimensionUniqueName="[debt]" displayFolder="" count="0" memberValueDatatype="20" unbalanced="0"/>
    <cacheHierarchy uniqueName="[debt].[payable]" caption="payable" attribute="1" defaultMemberUniqueName="[debt].[payable].[All]" allUniqueName="[debt].[payable].[All]" dimensionUniqueName="[debt]" displayFolder="" count="0" memberValueDatatype="20" unbalanced="0"/>
    <cacheHierarchy uniqueName="[fund_certs].[fund]" caption="fund" attribute="1" defaultMemberUniqueName="[fund_certs].[fund].[All]" allUniqueName="[fund_certs].[fund].[All]" dimensionUniqueName="[fund_certs]" displayFolder="" count="0" memberValueDatatype="130" unbalanced="0"/>
    <cacheHierarchy uniqueName="[fund_certs].[name]" caption="name" attribute="1" defaultMemberUniqueName="[fund_certs].[name].[All]" allUniqueName="[fund_certs].[name].[All]" dimensionUniqueName="[fund_certs]" displayFolder="" count="2" memberValueDatatype="130" unbalanced="0">
      <fieldsUsage count="2">
        <fieldUsage x="-1"/>
        <fieldUsage x="0"/>
      </fieldsUsage>
    </cacheHierarchy>
    <cacheHierarchy uniqueName="[fund_certs].[type]" caption="type" attribute="1" defaultMemberUniqueName="[fund_certs].[type].[All]" allUniqueName="[fund_certs].[type].[All]" dimensionUniqueName="[fund_certs]" displayFolder="" count="0" memberValueDatatype="130" unbalanced="0"/>
    <cacheHierarchy uniqueName="[fund_certs].[principal]" caption="principal" attribute="1" defaultMemberUniqueName="[fund_certs].[principal].[All]" allUniqueName="[fund_certs].[principal].[All]" dimensionUniqueName="[fund_certs]" displayFolder="" count="0" memberValueDatatype="20" unbalanced="0"/>
    <cacheHierarchy uniqueName="[fund_certs].[start]" caption="start" attribute="1" time="1" defaultMemberUniqueName="[fund_certs].[start].[All]" allUniqueName="[fund_certs].[start].[All]" dimensionUniqueName="[fund_certs]" displayFolder="" count="0" memberValueDatatype="7" unbalanced="0"/>
    <cacheHierarchy uniqueName="[fund_certs].[rate]" caption="rate" attribute="1" defaultMemberUniqueName="[fund_certs].[rate].[All]" allUniqueName="[fund_certs].[rate].[All]" dimensionUniqueName="[fund_certs]" displayFolder="" count="0" memberValueDatatype="5" unbalanced="0"/>
    <cacheHierarchy uniqueName="[fund_certs].[interest]" caption="interest" attribute="1" defaultMemberUniqueName="[fund_certs].[interest].[All]" allUniqueName="[fund_certs].[interest].[All]" dimensionUniqueName="[fund_certs]" displayFolder="" count="0" memberValueDatatype="5" unbalanced="0"/>
    <cacheHierarchy uniqueName="[fund_certs].[balance]" caption="balance" attribute="1" defaultMemberUniqueName="[fund_certs].[balance].[All]" allUniqueName="[fund_certs].[balance].[All]" dimensionUniqueName="[fund_certs]" displayFolder="" count="0" memberValueDatatype="5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amount]" caption="amount" attribute="1" defaultMemberUniqueName="[transactions].[amount].[All]" allUniqueName="[transactions].[amount].[All]" dimensionUniqueName="[transactions]" displayFolder="" count="0" memberValueDatatype="130" unbalanced="0"/>
    <cacheHierarchy uniqueName="[transactions].[wallet]" caption="wallet" attribute="1" defaultMemberUniqueName="[transactions].[wallet].[All]" allUniqueName="[transactions].[wallet].[All]" dimensionUniqueName="[transactions]" displayFolder="" count="0" memberValueDatatype="130" unbalanced="0"/>
    <cacheHierarchy uniqueName="[transactions].[type]" caption="type" attribute="1" defaultMemberUniqueName="[transactions].[type].[All]" allUniqueName="[transactions].[type].[All]" dimensionUniqueName="[transactions]" displayFolder="" count="0" memberValueDatatype="130" unbalanced="0"/>
    <cacheHierarchy uniqueName="[transactions].[group]" caption="group" attribute="1" defaultMemberUniqueName="[transactions].[group].[All]" allUniqueName="[transactions].[group].[All]" dimensionUniqueName="[transactions]" displayFolder="" count="0" memberValueDatatype="130" unbalanced="0"/>
    <cacheHierarchy uniqueName="[transactions].[category]" caption="category" attribute="1" defaultMemberUniqueName="[transactions].[category].[All]" allUniqueName="[transactions].[category].[All]" dimensionUniqueName="[transactions]" displayFolder="" count="0" memberValueDatatype="130" unbalanced="0"/>
    <cacheHierarchy uniqueName="[transactions].[this month]" caption="this month" attribute="1" defaultMemberUniqueName="[transactions].[this month].[All]" allUniqueName="[transactions].[this month].[All]" dimensionUniqueName="[transactions]" displayFolder="" count="0" memberValueDatatype="11" unbalanced="0"/>
    <cacheHierarchy uniqueName="[transactions].[flow]" caption="flow" attribute="1" defaultMemberUniqueName="[transactions].[flow].[All]" allUniqueName="[transactions].[flow].[All]" dimensionUniqueName="[transactions]" displayFolder="" count="0" memberValueDatatype="5" unbalanced="0"/>
    <cacheHierarchy uniqueName="[Measures].[__XL_Count debt]" caption="__XL_Count debt" measure="1" displayFolder="" measureGroup="debt" count="0" hidden="1"/>
    <cacheHierarchy uniqueName="[Measures].[__XL_Count transactions]" caption="__XL_Count transactions" measure="1" displayFolder="" measureGroup="transactions" count="0" hidden="1"/>
    <cacheHierarchy uniqueName="[Measures].[__XL_Count fund_certs]" caption="__XL_Count fund_certs" measure="1" displayFolder="" measureGroup="fund_certs" count="0" hidden="1"/>
    <cacheHierarchy uniqueName="[Measures].[__No measures defined]" caption="__No measures defined" measure="1" displayFolder="" count="0" hidden="1"/>
    <cacheHierarchy uniqueName="[Measures].[Count of type]" caption="Count of type" measure="1" displayFolder="" measureGroup="deb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eceivable]" caption="Sum of receivable" measure="1" displayFolder="" measureGroup="deb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yable]" caption="Sum of payable" measure="1" displayFolder="" measureGroup="deb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flow]" caption="Sum of flow" measure="1" displayFolder="" measureGroup="transaction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alance]" caption="Sum of balance" measure="1" displayFolder="" measureGroup="fund_cer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rate]" caption="Sum of rate" measure="1" displayFolder="" measureGroup="fund_cer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wallet]" caption="Count of wallet" measure="1" displayFolder="" measureGroup="deb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mount 2]" caption="Sum of amount 2" measure="1" displayFolder="" measureGroup="deb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4">
    <dimension name="debt" uniqueName="[debt]" caption="debt"/>
    <dimension name="fund_certs" uniqueName="[fund_certs]" caption="fund_certs"/>
    <dimension measure="1" name="Measures" uniqueName="[Measures]" caption="Measures"/>
    <dimension name="transactions" uniqueName="[transactions]" caption="transactions"/>
  </dimensions>
  <measureGroups count="3">
    <measureGroup name="debt" caption="debt"/>
    <measureGroup name="fund_certs" caption="fund_certs"/>
    <measureGroup name="transactions" caption="transactions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01BF2-BEF9-4FE9-AD4C-8113DE7D63C8}" name="month_exp" cacheId="417" applyNumberFormats="0" applyBorderFormats="0" applyFontFormats="0" applyPatternFormats="0" applyAlignmentFormats="0" applyWidthHeightFormats="1" dataCaption="Values" tag="07cffa56-6d96-408e-bc3f-9575601949c5" updatedVersion="8" minRefreshableVersion="3" subtotalHiddenItems="1" itemPrintTitles="1" createdVersion="5" indent="0" outline="1" outlineData="1" multipleFieldFilters="0" chartFormat="6">
  <location ref="R82:R85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>
      <items count="1">
        <item x="0" e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2">
    <field x="0"/>
    <field x="1"/>
  </rowFields>
  <rowItems count="3">
    <i>
      <x/>
    </i>
    <i r="1">
      <x/>
    </i>
    <i t="grand">
      <x/>
    </i>
  </rowItems>
  <pageFields count="2">
    <pageField fld="2" hier="20" name="[transactions].[type].&amp;[expense]" cap="expense"/>
    <pageField fld="3" hier="23" name="[transactions].[this month].[All]" cap="All"/>
  </pageField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xpense" showRowHeaders="1" showColHeaders="1" showRowStripes="0" showColStripes="0" showLastColumn="1"/>
  <rowHierarchiesUsage count="2">
    <rowHierarchyUsage hierarchyUsage="21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9ABDA7-5CEA-4235-A9C7-1670A37008B9}" name="month_in" cacheId="408" applyNumberFormats="0" applyBorderFormats="0" applyFontFormats="0" applyPatternFormats="0" applyAlignmentFormats="0" applyWidthHeightFormats="1" dataCaption="Values" tag="8ddabd28-a795-4755-b5ba-654cb8929447" updatedVersion="8" minRefreshableVersion="3" subtotalHiddenItems="1" itemPrintTitles="1" createdVersion="5" indent="0" outline="1" outlineData="1" multipleFieldFilters="0" chartFormat="6" rowHeaderCaption="income">
  <location ref="R68:R70" firstHeaderRow="1" firstDataRow="1" firstDataCol="1" rowPageCount="2" colPageCount="1"/>
  <pivotFields count="4">
    <pivotField axis="axisRow" allDrilled="1" subtotalTop="0" showAll="0" dataSourceSort="1" defaultSubtotal="0">
      <items count="1">
        <item x="0" e="0"/>
      </items>
    </pivotField>
    <pivotField axis="axisRow" allDrilled="1" subtotalTop="0" showAll="0" dataSourceSort="1" defaultSubtotal="0">
      <items count="4">
        <item x="0" e="0"/>
        <item x="1" e="0"/>
        <item x="2" e="0"/>
        <item x="3" e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2">
    <field x="0"/>
    <field x="1"/>
  </rowFields>
  <rowItems count="2">
    <i>
      <x/>
    </i>
    <i t="grand">
      <x/>
    </i>
  </rowItems>
  <pageFields count="2">
    <pageField fld="2" hier="20" name="[transactions].[type].[All]" cap="All"/>
    <pageField fld="3" hier="23" name="[transactions].[this month].[All]" cap="All"/>
  </pageField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income" showRowHeaders="1" showColHeaders="1" showRowStripes="0" showColStripes="0" showLastColumn="1"/>
  <rowHierarchiesUsage count="2">
    <rowHierarchyUsage hierarchyUsage="21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15D21-73A8-4E9A-8868-F0A64F2B42A6}" name="acounts_statement" cacheId="303" applyNumberFormats="0" applyBorderFormats="0" applyFontFormats="0" applyPatternFormats="0" applyAlignmentFormats="0" applyWidthHeightFormats="1" dataCaption="Values" tag="dec844f0-75ba-40c3-917f-f9aaa2889e47" updatedVersion="8" minRefreshableVersion="3" showDrill="0" useAutoFormatting="1" subtotalHiddenItems="1" itemPrintTitles="1" createdVersion="8" indent="0" outline="1" outlineData="1" multipleFieldFilters="0" rowHeaderCaption="acount">
  <location ref="B6:C8" firstHeaderRow="1" firstDataRow="1" firstDataCol="1"/>
  <pivotFields count="3">
    <pivotField axis="axisRow" allDrilled="1" subtotalTop="0" showAll="0" dataSourceSort="1" defaultSubtotal="0">
      <items count="1">
        <item x="0" e="0"/>
      </items>
    </pivotField>
    <pivotField axis="axisRow" allDrilled="1" subtotalTop="0" showAll="0" dataSourceSort="1" defaultSubtotal="0">
      <items count="4">
        <item x="0" e="0"/>
        <item x="1" e="0"/>
        <item x="2" e="0"/>
        <item x="3" e="0"/>
      </items>
    </pivotField>
    <pivotField dataField="1" subtotalTop="0" showAll="0" defaultSubtotal="0"/>
  </pivotFields>
  <rowFields count="2">
    <field x="0"/>
    <field x="1"/>
  </rowFields>
  <rowItems count="2">
    <i>
      <x/>
    </i>
    <i t="grand">
      <x/>
    </i>
  </rowItems>
  <colItems count="1">
    <i/>
  </colItems>
  <dataFields count="1">
    <dataField name="amount" fld="2" baseField="0" baseItem="0"/>
  </dataFields>
  <formats count="6">
    <format dxfId="121">
      <pivotArea field="0" type="button" dataOnly="0" labelOnly="1" outline="0" axis="axisRow" fieldPosition="0"/>
    </format>
    <format dxfId="120">
      <pivotArea field="0" type="button" dataOnly="0" labelOnly="1" outline="0" axis="axisRow" fieldPosition="0"/>
    </format>
    <format dxfId="119">
      <pivotArea dataOnly="0" fieldPosition="0">
        <references count="1">
          <reference field="0" count="0"/>
        </references>
      </pivotArea>
    </format>
    <format dxfId="118">
      <pivotArea dataOnly="0" grandRow="1" fieldPosition="0"/>
    </format>
    <format dxfId="117">
      <pivotArea outline="0" collapsedLevelsAreSubtotals="1" fieldPosition="0"/>
    </format>
    <format dxfId="116">
      <pivotArea dataOnly="0" grandRow="1" fieldPosition="0"/>
    </format>
  </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receivable"/>
    <pivotHierarchy dragToData="1" caption="payable"/>
    <pivotHierarchy dragToData="1"/>
    <pivotHierarchy dragToData="1"/>
    <pivotHierarchy dragToData="1"/>
    <pivotHierarchy dragToData="1"/>
    <pivotHierarchy dragToData="1" caption="amount"/>
  </pivotHierarchies>
  <pivotTableStyleInfo name="PivotTable Style 3" showRowHeaders="1" showColHeaders="1" showRowStripes="0" showColStripes="0" showLastColumn="1"/>
  <rowHierarchiesUsage count="2">
    <rowHierarchyUsage hierarchyUsage="2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nce 6.9.xlsx!debt">
        <x15:activeTabTopLevelEntity name="[deb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754A1-8A0D-45F6-A7F2-4C171D7E7424}" name="fund_name_percent" cacheId="423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5" rowHeaderCaption="fund">
  <location ref="M28:N30" firstHeaderRow="1" firstDataRow="1" firstDataCol="1"/>
  <pivotFields count="2">
    <pivotField axis="axisRow" allDrilled="1" showAll="0" defaultAttributeDrillState="1">
      <items count="2">
        <item x="0"/>
        <item t="default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%balance" fld="1" showDataAs="percentOfTotal" baseField="0" baseItem="0" numFmtId="10"/>
  </dataFields>
  <chartFormats count="8"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8832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8832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8832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8832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8832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8832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%balance"/>
    <pivotHierarchy dragToData="1" caption="rate"/>
    <pivotHierarchy dragToData="1"/>
    <pivotHierarchy dragToData="1"/>
  </pivotHierarchies>
  <pivotTableStyleInfo name="PivotTable Style 3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nce 6.9.xlsx!fund_certs">
        <x15:activeTabTopLevelEntity name="[fund_cer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D51173-56BA-41A8-BF3B-A877724D5B12}" name="expense_category" cacheId="167" applyNumberFormats="0" applyBorderFormats="0" applyFontFormats="0" applyPatternFormats="0" applyAlignmentFormats="0" applyWidthHeightFormats="1" dataCaption="Values" tag="d80a6e5a-ccf6-487e-93c5-e9baa2e8a241" updatedVersion="8" minRefreshableVersion="3" subtotalHiddenItems="1" itemPrintTitles="1" createdVersion="8" indent="0" outline="1" outlineData="1" multipleFieldFilters="0" chartFormat="13" rowHeaderCaption="category">
  <location ref="P19:Q25" firstHeaderRow="1" firstDataRow="1" firstDataCol="1" rowPageCount="2" colPageCount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6">
    <i>
      <x v="3"/>
    </i>
    <i>
      <x v="4"/>
    </i>
    <i>
      <x v="2"/>
    </i>
    <i>
      <x/>
    </i>
    <i>
      <x v="1"/>
    </i>
    <i t="grand">
      <x/>
    </i>
  </rowItems>
  <colItems count="1">
    <i/>
  </colItems>
  <pageFields count="2">
    <pageField fld="1" hier="23" name="[transactions].[this month].&amp;[True]" cap="TRUE"/>
    <pageField fld="3" hier="20" name="[transactions].[type].&amp;[expense]" cap="expense"/>
  </pageFields>
  <dataFields count="1">
    <dataField name="amount" fld="2" baseField="0" baseItem="0" numFmtId="168"/>
  </dataFields>
  <formats count="1">
    <format dxfId="0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mount"/>
    <pivotHierarchy dragToData="1"/>
    <pivotHierarchy dragToData="1"/>
    <pivotHierarchy dragToData="1"/>
    <pivotHierarchy dragToData="1"/>
  </pivotHierarchies>
  <pivotTableStyleInfo name="expense" showRowHeaders="1" showColHeaders="1" showRowStripes="0" showColStripes="0" showLastColumn="1"/>
  <filters count="1">
    <filter fld="0" type="count" id="1" iMeasureHier="33">
      <autoFilter ref="A1">
        <filterColumn colId="0">
          <top10 val="5" filterVal="5"/>
        </filterColumn>
      </autoFilter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1909FC-13EC-445C-9950-B5F234E183BF}" name="income_category" cacheId="179" applyNumberFormats="0" applyBorderFormats="0" applyFontFormats="0" applyPatternFormats="0" applyAlignmentFormats="0" applyWidthHeightFormats="1" dataCaption="Values" tag="a40eca60-5ed7-4573-a70b-469081bce793" updatedVersion="8" minRefreshableVersion="3" subtotalHiddenItems="1" itemPrintTitles="1" createdVersion="8" indent="0" outline="1" outlineData="1" multipleFieldFilters="0" chartFormat="6" rowHeaderCaption="category">
  <location ref="P10:Q15" firstHeaderRow="1" firstDataRow="1" firstDataCol="1" rowPageCount="2" colPageCount="1"/>
  <pivotFields count="4">
    <pivotField axis="axisRow" allDrilled="1" subtotalTop="0" showAll="0" measureFilter="1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2">
    <pageField fld="1" hier="23" name="[transactions].[this month].&amp;[True]" cap="TRUE"/>
    <pageField fld="3" hier="20" name="[transactions].[type].&amp;[income]" cap="income"/>
  </pageFields>
  <dataFields count="1">
    <dataField name="amount" fld="2" baseField="0" baseItem="0" numFmtId="168"/>
  </dataFields>
  <formats count="1">
    <format dxfId="1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mount"/>
    <pivotHierarchy dragToData="1"/>
    <pivotHierarchy dragToData="1"/>
    <pivotHierarchy dragToData="1"/>
    <pivotHierarchy dragToData="1"/>
  </pivotHierarchies>
  <pivotTableStyleInfo name="income" showRowHeaders="1" showColHeaders="1" showRowStripes="0" showColStripes="0" showLastColumn="1"/>
  <filters count="1">
    <filter fld="0" type="count" id="1" iMeasureHier="33">
      <autoFilter ref="A1">
        <filterColumn colId="0">
          <top10 val="5" filterVal="5"/>
        </filterColumn>
      </autoFilter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9F9754-1848-4C98-86F8-07CDBC32DF82}" name="expense_group" cacheId="411" applyNumberFormats="0" applyBorderFormats="0" applyFontFormats="0" applyPatternFormats="0" applyAlignmentFormats="0" applyWidthHeightFormats="1" dataCaption="Values" tag="4544f66c-2bcf-4b80-9c88-161c50ead4ad" updatedVersion="8" minRefreshableVersion="3" itemPrintTitles="1" createdVersion="8" indent="0" outline="1" outlineData="1" multipleFieldFilters="0" chartFormat="13" rowHeaderCaption="group">
  <location ref="M19:M21" firstHeaderRow="1" firstDataRow="1" firstDataCol="1" rowPageCount="2" colPageCount="1"/>
  <pivotFields count="3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pageFields count="2">
    <pageField fld="1" hier="23" name="[transactions].[this month].[All]" cap="All"/>
    <pageField fld="2" hier="20" name="[transactions].[type].&amp;[expense]" cap="expense"/>
  </pageField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flow"/>
    <pivotHierarchy dragToData="1"/>
    <pivotHierarchy dragToData="1"/>
    <pivotHierarchy dragToData="1"/>
    <pivotHierarchy dragToData="1"/>
  </pivotHierarchies>
  <pivotTableStyleInfo name="expense" showRowHeaders="1" showColHeaders="1" showRowStripes="0" showColStripes="0" showLastColumn="1"/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393473-D47F-4644-9669-759F6DE2B9C7}" name="income_group" cacheId="414" applyNumberFormats="0" applyBorderFormats="0" applyFontFormats="0" applyPatternFormats="0" applyAlignmentFormats="0" applyWidthHeightFormats="1" dataCaption="Values" tag="b95168d3-6178-475f-adba-83cc5005139c" updatedVersion="8" minRefreshableVersion="3" itemPrintTitles="1" createdVersion="8" indent="0" outline="1" outlineData="1" multipleFieldFilters="0" chartFormat="10" rowHeaderCaption="group">
  <location ref="M10:M12" firstHeaderRow="1" firstDataRow="1" firstDataCol="1" rowPageCount="2" colPageCount="1"/>
  <pivotFields count="3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pageFields count="2">
    <pageField fld="1" hier="23" name="[transactions].[this month].[All]" cap="All"/>
    <pageField fld="2" hier="20" name="[transactions].[type].[All]" cap="All"/>
  </pageField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amount"/>
    <pivotHierarchy dragToData="1"/>
    <pivotHierarchy dragToData="1"/>
    <pivotHierarchy dragToData="1"/>
    <pivotHierarchy dragToData="1"/>
  </pivotHierarchies>
  <pivotTableStyleInfo name="income" showRowHeaders="1" showColHeaders="1" showRowStripes="0" showColStripes="0" showLastColumn="1"/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042A77-EC81-4C04-9385-064A32B11F57}" name="fund_type_percent" cacheId="420" applyNumberFormats="0" applyBorderFormats="0" applyFontFormats="0" applyPatternFormats="0" applyAlignmentFormats="0" applyWidthHeightFormats="1" dataCaption="Values" tag="fed11a14-b9c6-4256-a07e-8286d784d679" updatedVersion="8" minRefreshableVersion="3" itemPrintTitles="1" createdVersion="8" indent="0" outline="1" outlineData="1" multipleFieldFilters="0" chartFormat="8" rowHeaderCaption="type of fund">
  <location ref="P28:Q30" firstHeaderRow="1" firstDataRow="1" firstDataCol="1"/>
  <pivotFields count="2">
    <pivotField axis="axisRow" allDrilled="1" subtotalTop="0" showAll="0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rate" fld="1" showDataAs="percentOfTotal" baseField="0" baseItem="2" numFmtId="10"/>
  </dataFields>
  <chartFormats count="4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883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8832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rate"/>
    <pivotHierarchy dragToData="1"/>
    <pivotHierarchy dragToData="1"/>
    <pivotHierarchy dragToData="1"/>
  </pivotHierarchies>
  <pivotTableStyleInfo name="PivotTable Style 3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und_cer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A58606-4B31-4BD5-8550-CE93EED0130E}" name="months_stat" displayName="months_stat" ref="P29:T42" headerRowDxfId="164" dataDxfId="163" totalsRowDxfId="162" totalsRowBorderDxfId="161">
  <autoFilter ref="P29:T42" xr:uid="{9AA58606-4B31-4BD5-8550-CE93EED0130E}"/>
  <tableColumns count="5">
    <tableColumn id="1" xr3:uid="{9DF2A689-91E7-4B11-A715-66C69110AF9A}" name="month" totalsRowLabel="Total" dataDxfId="160" totalsRowDxfId="159">
      <calculatedColumnFormula>DATE(2025, 4, 1)</calculatedColumnFormula>
    </tableColumn>
    <tableColumn id="2" xr3:uid="{4E0BC71B-5F20-477A-BE0C-3E83E98F8113}" name="income" totalsRowFunction="sum" dataDxfId="158" totalsRowDxfId="157">
      <calculatedColumnFormula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calculatedColumnFormula>
    </tableColumn>
    <tableColumn id="3" xr3:uid="{CAC8B9B8-D8EB-43CE-A018-6898E4998445}" name="expense" totalsRowFunction="sum" dataDxfId="156" totalsRowDxfId="155">
      <calculatedColumnFormula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calculatedColumnFormula>
    </tableColumn>
    <tableColumn id="4" xr3:uid="{70A8FE01-77F4-4D28-A027-044CDEECA547}" name="cash flow" dataDxfId="154" totalsRowDxfId="153">
      <calculatedColumnFormula>months_stat[[#This Row],[income]]-months_stat[[#This Row],[expense]]</calculatedColumnFormula>
    </tableColumn>
    <tableColumn id="5" xr3:uid="{BB5E1DF4-1DA5-4739-AC78-C428F1AE0C83}" name="savings rate" dataDxfId="152" totalsRowDxfId="151" dataCellStyle="Percent">
      <calculatedColumnFormula>IF(months_stat[[#This Row],[income]]&gt;0, (months_stat[[#This Row],[income]]-months_stat[[#This Row],[expense]])/months_stat[[#This Row],[income]], 0)</calculatedColumnFormula>
    </tableColumn>
  </tableColumns>
  <tableStyleInfo name="Table Style 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ACD1962-F893-42BA-800B-92B8C442BEFF}" name="wallets" displayName="wallets" ref="B6:D13" totalsRowCount="1" headerRowDxfId="150" dataDxfId="149" totalsRowDxfId="148">
  <autoFilter ref="B6:D12" xr:uid="{9ACD1962-F893-42BA-800B-92B8C442BEFF}"/>
  <tableColumns count="3">
    <tableColumn id="2" xr3:uid="{6665061B-777D-428A-B53B-5019A08C8C59}" name="wallet" totalsRowLabel="Total" dataDxfId="147" totalsRowDxfId="146"/>
    <tableColumn id="3" xr3:uid="{D8872F69-DAA7-4FB0-ABDE-0A835E1AF13E}" name="balance" totalsRowFunction="custom" dataDxfId="145" totalsRowDxfId="144">
      <calculatedColumnFormula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calculatedColumnFormula>
      <totalsRowFormula>SUM(wallets[balance])</totalsRowFormula>
    </tableColumn>
    <tableColumn id="1" xr3:uid="{E09CE42C-5EEA-4B7C-8439-7271C936A56D}" name="rate" totalsRowFunction="sum" dataDxfId="143" totalsRowDxfId="142">
      <calculatedColumnFormula>wallets[[#This Row],[balance]]/SUM(wallets[balance])</calculatedColumnFormula>
    </tableColumn>
  </tableColumns>
  <tableStyleInfo name="Table Style 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CC88BF7-1CC6-4990-A059-40A2A4E49AAC}" name="transactions" displayName="transactions" ref="B16:G17" headerRowDxfId="141" dataDxfId="140">
  <autoFilter ref="B16:G17" xr:uid="{6CC88BF7-1CC6-4990-A059-40A2A4E49AAC}"/>
  <tableColumns count="6">
    <tableColumn id="1" xr3:uid="{4AF43A45-0599-40F1-8CE4-4DC2072BE777}" name="date" totalsRowFunction="custom" dataDxfId="139" totalsRowDxfId="138">
      <totalsRowFormula>DATE(2026, 8, 1)</totalsRowFormula>
    </tableColumn>
    <tableColumn id="3" xr3:uid="{69498429-5B6C-4D8A-A853-1F873CA7E784}" name="amount" dataDxfId="137" totalsRowDxfId="136"/>
    <tableColumn id="4" xr3:uid="{28E6C312-EDA2-4A7C-8C8E-247C52807851}" name="wallet" dataDxfId="135" totalsRowDxfId="134"/>
    <tableColumn id="6" xr3:uid="{51FE3FA3-2E0F-4C38-A09D-FF07C0F12F61}" name="type" dataDxfId="133" totalsRowDxfId="132"/>
    <tableColumn id="7" xr3:uid="{09531535-1E75-4115-960B-2A842EE5B430}" name="group" dataDxfId="131" totalsRowDxfId="130"/>
    <tableColumn id="2" xr3:uid="{3A0888C4-05A2-4052-9BD1-6E1645C7EC92}" name="category" dataDxfId="129" totalsRowDxfId="128"/>
  </tableColumns>
  <tableStyleInfo name="Table Style 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F63632-6E6A-4AE6-B34F-C93F47E25CB6}" name="transfers" displayName="transfers" ref="B20:E21" totalsRowShown="0" headerRowDxfId="127" dataDxfId="126">
  <autoFilter ref="B20:E21" xr:uid="{74F63632-6E6A-4AE6-B34F-C93F47E25CB6}"/>
  <tableColumns count="4">
    <tableColumn id="1" xr3:uid="{66549FD9-8C58-46A0-AB19-9704A05EF77D}" name="date" dataDxfId="125"/>
    <tableColumn id="3" xr3:uid="{985BCC81-C484-4DE8-B074-D761C00797F5}" name="amount" dataDxfId="124"/>
    <tableColumn id="4" xr3:uid="{965E1258-F7D8-40C4-A290-B5EF4E41F3E9}" name="from" dataDxfId="123"/>
    <tableColumn id="8" xr3:uid="{8489C6F0-1CEF-4F4E-82C7-BD1ED0A5A528}" name="to" dataDxfId="122"/>
  </tableColumns>
  <tableStyleInfo name="Table Style 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D79D2E-8E30-4667-9E00-9C3D5E1B61BD}" name="debt" displayName="debt" ref="B14:H15" totalsRowShown="0" headerRowDxfId="115" dataDxfId="114">
  <autoFilter ref="B14:H15" xr:uid="{46D79D2E-8E30-4667-9E00-9C3D5E1B61BD}"/>
  <tableColumns count="7">
    <tableColumn id="1" xr3:uid="{D6DDBEF5-2E58-4868-882A-42D15F43945D}" name="date" dataDxfId="113">
      <calculatedColumnFormula>DATE(2026, 8, 7)</calculatedColumnFormula>
    </tableColumn>
    <tableColumn id="2" xr3:uid="{E6F4A43B-E948-4FF2-8888-C72F04E64A34}" name="batch" dataDxfId="112"/>
    <tableColumn id="3" xr3:uid="{73164CF5-6DB3-4BFA-8A09-3A61F8A00D4B}" name="person" dataDxfId="111"/>
    <tableColumn id="4" xr3:uid="{66A53E51-3F4E-4A35-8B2C-7EE8557FFEB9}" name="type" dataDxfId="110"/>
    <tableColumn id="5" xr3:uid="{6000AF22-578F-4551-B4C2-ED3A7137200F}" name="amount" dataDxfId="109"/>
    <tableColumn id="6" xr3:uid="{DBC6E361-28EA-409C-A058-1E875EA1392D}" name="wallet" dataDxfId="108"/>
    <tableColumn id="7" xr3:uid="{612CAB6F-BAC1-4071-A571-7ED4318969F0}" name="note" dataDxfId="107"/>
  </tableColumns>
  <tableStyleInfo name="Table Style 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C5ED7B-34D9-4AD4-96DD-96AD92C02627}" name="savings" displayName="savings" ref="B42:I44" totalsRowCount="1" headerRowDxfId="106" dataDxfId="105" totalsRowDxfId="104">
  <autoFilter ref="B42:I43" xr:uid="{5EC5ED7B-34D9-4AD4-96DD-96AD92C02627}"/>
  <sortState xmlns:xlrd2="http://schemas.microsoft.com/office/spreadsheetml/2017/richdata2" ref="B43:I43">
    <sortCondition descending="1" ref="H43"/>
  </sortState>
  <tableColumns count="8">
    <tableColumn id="1" xr3:uid="{AB375C6F-3FC5-4051-AA72-CD19577253DA}" name="fund" totalsRowLabel="Total" dataDxfId="103" totalsRowDxfId="17"/>
    <tableColumn id="10" xr3:uid="{23ABCFB1-CF61-4DC6-A72B-2D614542091C}" name="principal" totalsRowFunction="sum" dataDxfId="102" totalsRowDxfId="16"/>
    <tableColumn id="2" xr3:uid="{75D030BC-4ED7-476E-BCD9-54DCE7E14A5E}" name="capital" totalsRowFunction="sum" dataDxfId="101" totalsRowDxfId="15"/>
    <tableColumn id="3" xr3:uid="{E17558B6-2009-4250-82E8-F25BCE90AE4B}" name="term" dataDxfId="100" totalsRowDxfId="14"/>
    <tableColumn id="4" xr3:uid="{AF4F4DE6-F301-4DBA-B2D5-F7F019AEB349}" name="rate" dataDxfId="99" totalsRowDxfId="13"/>
    <tableColumn id="5" xr3:uid="{42642527-6861-46EA-9CBF-331E79DA3CA8}" name="start" dataDxfId="98" totalsRowDxfId="12">
      <calculatedColumnFormula>DATE(2023, 11, 24)</calculatedColumnFormula>
    </tableColumn>
    <tableColumn id="6" xr3:uid="{C71B719A-C991-4CDB-8C2E-9F64179AC486}" name="process" dataDxfId="97" totalsRowDxfId="11" dataCellStyle="Percent">
      <calculatedColumnFormula>IF(savings[[#This Row],[term]]="unlimited", 1, (TODAY() - savings[[#This Row],[start]]) / (VLOOKUP(savings[[#This Row],[term]], term[], 2,FALSE)))</calculatedColumnFormula>
    </tableColumn>
    <tableColumn id="9" xr3:uid="{352BE966-0958-45D9-818E-D695E66AB177}" name="balance" totalsRowFunction="sum" dataDxfId="96" totalsRowDxfId="10">
      <calculatedColumnFormula>IF(savings[[#This Row],[term]]="unlimited",savings[[#This Row],[capital]]*savings[[#This Row],[rate]]/365, (savings[[#This Row],[rate]]/365) * (TODAY() - savings[[#This Row],[start]]) *savings[[#This Row],[capital]] ) + savings[[#This Row],[capital]]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85D48F4-F208-45D3-9F4C-4CFFC5AB6D0C}" name="fund_certs" displayName="fund_certs" ref="B47:I49" totalsRowCount="1" headerRowDxfId="95" dataDxfId="94" totalsRowDxfId="93">
  <autoFilter ref="B47:I48" xr:uid="{B85D48F4-F208-45D3-9F4C-4CFFC5AB6D0C}"/>
  <sortState xmlns:xlrd2="http://schemas.microsoft.com/office/spreadsheetml/2017/richdata2" ref="B48:I48">
    <sortCondition ref="F48"/>
  </sortState>
  <tableColumns count="8">
    <tableColumn id="1" xr3:uid="{3091F74F-9F36-4AC4-9481-0A7C3F7528BD}" name="fund" totalsRowLabel="Total" dataDxfId="92" totalsRowDxfId="91"/>
    <tableColumn id="8" xr3:uid="{E2EBDF92-7418-4563-BC7E-6B998765A986}" name="name" dataDxfId="90" totalsRowDxfId="89"/>
    <tableColumn id="3" xr3:uid="{F11F7CD4-3132-4590-84D5-5DD24B4B765A}" name="type" dataDxfId="88" totalsRowDxfId="87"/>
    <tableColumn id="9" xr3:uid="{7DB8DBA7-717E-4BF0-8278-E26268E2C81E}" name="principal" totalsRowFunction="sum" dataDxfId="86" totalsRowDxfId="85"/>
    <tableColumn id="4" xr3:uid="{A0CCD56A-6EDD-4F3C-AB45-ACDEEF9CA42D}" name="start" dataDxfId="84" totalsRowDxfId="83"/>
    <tableColumn id="10" xr3:uid="{A6375558-A9E0-40A3-972A-DD26FC354495}" name="rate" dataDxfId="82" totalsRowDxfId="81">
      <calculatedColumnFormula xml:space="preserve"> RATE((TODAY() - fund_certs[[#This Row],[start]]) / 365.25, 0, 0 - fund_certs[[#This Row],[principal]], fund_certs[[#This Row],[balance]], 0)</calculatedColumnFormula>
    </tableColumn>
    <tableColumn id="6" xr3:uid="{A05CA1F1-579C-43D7-BF57-46579EEC62DD}" name="interest" dataDxfId="80" totalsRowDxfId="79">
      <calculatedColumnFormula>fund_certs[[#This Row],[balance]]-fund_certs[[#This Row],[principal]]</calculatedColumnFormula>
    </tableColumn>
    <tableColumn id="13" xr3:uid="{7EF8243C-4030-4DCC-B17D-FB06A4A5CFDE}" name="balance" totalsRowFunction="sum" dataDxfId="78" totalsRowDxfId="77"/>
  </tableColumns>
  <tableStyleInfo name="Table Style 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50CDF4-3788-4D09-9999-1F6A1DCAD29A}" name="funds" displayName="funds" ref="B6:K11" totalsRowCount="1" headerRowDxfId="76" dataDxfId="75" totalsRowDxfId="74" totalsRowBorderDxfId="73">
  <autoFilter ref="B6:K10" xr:uid="{6650CDF4-3788-4D09-9999-1F6A1DCAD29A}"/>
  <tableColumns count="10">
    <tableColumn id="1" xr3:uid="{B387C609-261F-40F4-9E5A-2DB554DA4E4D}" name="fund" totalsRowLabel="Total" dataDxfId="72" totalsRowDxfId="71"/>
    <tableColumn id="2" xr3:uid="{2E045485-265A-4EF3-A937-83DDE86B6E53}" name="cash" dataDxfId="70" totalsRowDxfId="69">
      <calculatedColumnFormula>VLOOKUP(funds[[#This Row],[fund]], funds_cash[], 2,FALSE )</calculatedColumnFormula>
    </tableColumn>
    <tableColumn id="7" xr3:uid="{55A71409-776A-4691-BEE1-6A40A50FD1AF}" name="%cash" dataDxfId="68" totalsRowDxfId="67" dataCellStyle="Percent">
      <calculatedColumnFormula>IFERROR(funds[[#This Row],[cash]]/funds[[#This Row],[total]], 0)</calculatedColumnFormula>
    </tableColumn>
    <tableColumn id="3" xr3:uid="{2426E06A-C24B-48AD-A8FB-344381BF01F5}" name="saving" dataDxfId="66" totalsRowDxfId="65">
      <calculatedColumnFormula>SUMIFS(savings[balance], savings[fund], "="&amp;funds[[#This Row],[fund]])</calculatedColumnFormula>
    </tableColumn>
    <tableColumn id="8" xr3:uid="{44F3D37E-BDAB-4F33-8A08-622399E2C678}" name="%saving" dataDxfId="64" totalsRowDxfId="63" dataCellStyle="Percent">
      <calculatedColumnFormula>IFERROR(funds[[#This Row],[saving]]/funds[[#This Row],[total]], 0)</calculatedColumnFormula>
    </tableColumn>
    <tableColumn id="4" xr3:uid="{2DFDCA6D-B839-4925-B51F-1BDF24BB3A09}" name="fund cert" dataDxfId="62" totalsRowDxfId="61">
      <calculatedColumnFormula>SUMIFS(fund_certs[balance], fund_certs[fund], "="&amp;funds[[#This Row],[fund]])</calculatedColumnFormula>
    </tableColumn>
    <tableColumn id="11" xr3:uid="{3343357C-3CE0-4E79-B94C-65A1CD8AB8F8}" name="%fund cert" dataDxfId="60" totalsRowDxfId="59" dataCellStyle="Percent">
      <calculatedColumnFormula>IFERROR(funds[[#This Row],[fund cert]]/funds[[#This Row],[total]], 0)</calculatedColumnFormula>
    </tableColumn>
    <tableColumn id="5" xr3:uid="{FEF93EE6-E4F1-45F6-ACCE-6FF370BD5781}" name="total" totalsRowFunction="sum" dataDxfId="58" totalsRowDxfId="57">
      <calculatedColumnFormula>funds[[#This Row],[cash]]+funds[[#This Row],[saving]]+funds[[#This Row],[fund cert]]</calculatedColumnFormula>
    </tableColumn>
    <tableColumn id="9" xr3:uid="{0E13C09A-4D53-453C-9628-8ABCEDF3DDE0}" name="target" dataDxfId="56" totalsRowDxfId="55">
      <calculatedColumnFormula>VLOOKUP(funds[[#This Row],[fund]], funds_cash[], 2,FALSE )</calculatedColumnFormula>
    </tableColumn>
    <tableColumn id="10" xr3:uid="{B909E75E-A7C7-4789-95E2-281B01382075}" name="process" dataDxfId="54" totalsRowDxfId="53" dataCellStyle="Percent">
      <calculatedColumnFormula>IF(funds[[#This Row],[target]]=0, 1, funds[[#This Row],[total]]/funds[[#This Row],[target]])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529290C-31B5-42E1-8C3A-A789FC48E628}" name="funds_cash" displayName="funds_cash" ref="B14:D19" totalsRowCount="1" headerRowDxfId="52" dataDxfId="51" totalsRowDxfId="50" totalsRowBorderDxfId="49">
  <autoFilter ref="B14:D18" xr:uid="{9529290C-31B5-42E1-8C3A-A789FC48E628}"/>
  <tableColumns count="3">
    <tableColumn id="1" xr3:uid="{1E231660-8003-4BD0-A501-1D4A81FEC3C1}" name="fund" totalsRowLabel="Total" dataDxfId="48" totalsRowDxfId="9"/>
    <tableColumn id="2" xr3:uid="{87DA3833-8508-4B51-A79D-B63B574D28E0}" name="amount" totalsRowFunction="custom" dataDxfId="47" totalsRowDxfId="8">
      <totalsRowFormula>SUM(funds_cash[amount])</totalsRowFormula>
    </tableColumn>
    <tableColumn id="3" xr3:uid="{66AD8519-9B44-45C9-A49C-3FBE042A97C8}" name="rate" totalsRowFunction="sum" dataDxfId="46" totalsRowDxfId="7">
      <calculatedColumnFormula>funds_cash[[#This Row],[amount]] / funds_cash[[#Totals],[amount]]</calculatedColumnFormula>
    </tableColumn>
  </tableColumns>
  <tableStyleInfo name="Table Style 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EF6DF6-2F70-454C-AE6F-CF93A717374F}" name="classification" displayName="classification" ref="B6:D34" totalsRowShown="0" headerRowDxfId="45" dataDxfId="44">
  <tableColumns count="3">
    <tableColumn id="1" xr3:uid="{332B4F6B-F342-49CA-8673-EBC97B0C6A58}" name="type" dataDxfId="43"/>
    <tableColumn id="2" xr3:uid="{65023770-AB68-414D-BECF-9D38305291F4}" name="group" dataDxfId="42"/>
    <tableColumn id="3" xr3:uid="{7FAF56DB-2A32-4316-9044-DE5A01138E21}" name="category" dataDxfId="41"/>
  </tableColumns>
  <tableStyleInfo name="Table Style 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3569A22-0100-434F-BBF9-77D29994F791}" name="debt_type" displayName="debt_type" ref="B36:C42" totalsRowShown="0" headerRowDxfId="40" dataDxfId="39" tableBorderDxfId="38">
  <tableColumns count="2">
    <tableColumn id="1" xr3:uid="{B48DC9CE-B39E-49BE-A6CC-C7334C522FC9}" name="type" dataDxfId="37"/>
    <tableColumn id="2" xr3:uid="{C9F278CA-E59A-4558-BC4D-19A4CC2B383C}" name="description" dataDxfId="36"/>
  </tableColumns>
  <tableStyleInfo name="Table Style 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1FE2DC6-8F90-4A13-8379-BB9D6BB41D1B}" name="term" displayName="term" ref="B44:C53" totalsRowShown="0" headerRowDxfId="35" dataDxfId="34" tableBorderDxfId="33">
  <tableColumns count="2">
    <tableColumn id="1" xr3:uid="{B8589066-58D4-4248-BE03-59B8E268AF64}" name="term" dataDxfId="32"/>
    <tableColumn id="2" xr3:uid="{FD3626A5-39A3-4C3D-9EF7-B072CE5EFF82}" name="days" dataDxfId="31"/>
  </tableColumns>
  <tableStyleInfo name="Table Style 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5848D20-DBA4-4A19-AAC2-D4050261943F}" name="fund_cert_type" displayName="fund_cert_type" ref="B55:B58" totalsRowShown="0" headerRowDxfId="30" dataDxfId="29" tableBorderDxfId="28">
  <tableColumns count="1">
    <tableColumn id="1" xr3:uid="{7CADFECD-1D87-4382-9FEB-717E63B8A41D}" name="Type" dataDxfId="27"/>
  </tableColumns>
  <tableStyleInfo name="Table Style 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1D1B9A-E110-4CD8-A46A-75074F050F3F}" name="assets_total" displayName="assets_total" ref="F6:G8" totalsRowShown="0" headerRowDxfId="26" dataDxfId="25">
  <autoFilter ref="F6:G8" xr:uid="{DA1D1B9A-E110-4CD8-A46A-75074F050F3F}"/>
  <tableColumns count="2">
    <tableColumn id="1" xr3:uid="{E776EA2C-3FEC-4D74-98B3-2A1A71B443F2}" name="month" dataDxfId="24"/>
    <tableColumn id="7" xr3:uid="{3EF90866-6AAA-44B1-AB4C-56007D0C549A}" name="balance" dataDxfId="23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1E6D65-684A-4634-9D33-F45D5B695B76}" name="fund_performance" displayName="fund_performance" ref="I6:K8" totalsRowShown="0" headerRowDxfId="22" dataDxfId="21">
  <autoFilter ref="I6:K8" xr:uid="{6D1E6D65-684A-4634-9D33-F45D5B695B76}"/>
  <tableColumns count="3">
    <tableColumn id="1" xr3:uid="{774C7D60-40A2-47EA-9351-A4E02946429B}" name="months" dataDxfId="20"/>
    <tableColumn id="2" xr3:uid="{70C25307-2C78-4592-9BE5-0608CEC298E7}" name="principal" dataDxfId="19"/>
    <tableColumn id="3" xr3:uid="{49E3C5F2-90F4-43D5-9F8D-91A632D205EA}" name="interest" dataDxfId="18"/>
  </tableColumns>
  <tableStyleInfo name="Table Style 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5.bin"/><Relationship Id="rId12" Type="http://schemas.openxmlformats.org/officeDocument/2006/relationships/table" Target="../tables/table14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11" Type="http://schemas.openxmlformats.org/officeDocument/2006/relationships/table" Target="../tables/table13.xml"/><Relationship Id="rId5" Type="http://schemas.openxmlformats.org/officeDocument/2006/relationships/pivotTable" Target="../pivotTables/pivotTable8.xml"/><Relationship Id="rId10" Type="http://schemas.openxmlformats.org/officeDocument/2006/relationships/table" Target="../tables/table12.xml"/><Relationship Id="rId4" Type="http://schemas.openxmlformats.org/officeDocument/2006/relationships/pivotTable" Target="../pivotTables/pivotTable7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A76D2-F9A4-404F-99F8-4D08DD937783}">
  <sheetPr codeName="Sheet1"/>
  <dimension ref="B2:X100"/>
  <sheetViews>
    <sheetView tabSelected="1" zoomScale="95" zoomScaleNormal="95" workbookViewId="0">
      <selection activeCell="B2" sqref="B2:H3"/>
    </sheetView>
  </sheetViews>
  <sheetFormatPr defaultColWidth="9.09765625" defaultRowHeight="18"/>
  <cols>
    <col min="1" max="1" width="3.69921875" customWidth="1"/>
    <col min="2" max="2" width="3" customWidth="1"/>
    <col min="3" max="3" width="15.296875" customWidth="1"/>
    <col min="4" max="4" width="0.59765625" customWidth="1"/>
    <col min="5" max="5" width="10.8984375" bestFit="1" customWidth="1"/>
    <col min="6" max="6" width="12.296875" customWidth="1"/>
    <col min="7" max="7" width="11.09765625" customWidth="1"/>
    <col min="8" max="8" width="2.69921875" customWidth="1"/>
    <col min="9" max="9" width="3.69921875" customWidth="1"/>
    <col min="10" max="10" width="20.5" customWidth="1"/>
    <col min="11" max="11" width="0.8984375" customWidth="1"/>
    <col min="12" max="12" width="10.69921875" bestFit="1" customWidth="1"/>
    <col min="13" max="13" width="10.3984375" bestFit="1" customWidth="1"/>
    <col min="14" max="14" width="7.796875" bestFit="1" customWidth="1"/>
    <col min="15" max="15" width="1.69921875" customWidth="1"/>
    <col min="16" max="16" width="14.5" bestFit="1" customWidth="1"/>
    <col min="17" max="17" width="11.09765625" bestFit="1" customWidth="1"/>
    <col min="18" max="18" width="23.3984375" bestFit="1" customWidth="1"/>
    <col min="19" max="19" width="11.3984375" bestFit="1" customWidth="1"/>
    <col min="20" max="20" width="11.8984375" bestFit="1" customWidth="1"/>
    <col min="21" max="21" width="3.69921875" customWidth="1"/>
    <col min="22" max="22" width="2.69921875" customWidth="1"/>
    <col min="24" max="24" width="15.8984375" bestFit="1" customWidth="1"/>
    <col min="25" max="25" width="8.69921875" bestFit="1" customWidth="1"/>
    <col min="26" max="26" width="7.19921875" bestFit="1" customWidth="1"/>
    <col min="28" max="28" width="18.296875" bestFit="1" customWidth="1"/>
    <col min="29" max="29" width="11.5" bestFit="1" customWidth="1"/>
    <col min="30" max="30" width="9.69921875" bestFit="1" customWidth="1"/>
  </cols>
  <sheetData>
    <row r="2" spans="2:15" ht="14.25" customHeight="1">
      <c r="B2" s="197" t="s">
        <v>18</v>
      </c>
      <c r="C2" s="197"/>
      <c r="D2" s="197"/>
      <c r="E2" s="197"/>
      <c r="F2" s="197"/>
      <c r="G2" s="197"/>
      <c r="H2" s="197"/>
    </row>
    <row r="3" spans="2:15" ht="14.25" customHeight="1">
      <c r="B3" s="197"/>
      <c r="C3" s="197"/>
      <c r="D3" s="197"/>
      <c r="E3" s="197"/>
      <c r="F3" s="197"/>
      <c r="G3" s="197"/>
      <c r="H3" s="197"/>
    </row>
    <row r="5" spans="2:15" ht="21">
      <c r="B5" s="194" t="s">
        <v>29</v>
      </c>
      <c r="C5" s="195"/>
      <c r="D5" s="195"/>
      <c r="E5" s="195"/>
      <c r="F5" s="195"/>
      <c r="G5" s="195"/>
      <c r="H5" s="196"/>
      <c r="J5" s="191" t="s">
        <v>23</v>
      </c>
      <c r="K5" s="192"/>
      <c r="L5" s="192"/>
      <c r="M5" s="192"/>
      <c r="N5" s="192"/>
      <c r="O5" s="193"/>
    </row>
    <row r="6" spans="2:15">
      <c r="B6" s="94"/>
      <c r="C6" s="3"/>
      <c r="D6" s="3"/>
      <c r="E6" s="3"/>
      <c r="F6" s="3"/>
      <c r="G6" s="3"/>
      <c r="H6" s="95"/>
      <c r="J6" s="34"/>
      <c r="K6" s="27"/>
      <c r="L6" s="28"/>
      <c r="M6" s="27"/>
      <c r="N6" s="27"/>
      <c r="O6" s="35"/>
    </row>
    <row r="7" spans="2:15">
      <c r="B7" s="122"/>
      <c r="C7" s="3"/>
      <c r="H7" s="95"/>
      <c r="J7" s="34"/>
      <c r="K7" s="178"/>
      <c r="L7" s="40" t="str" cm="1">
        <f t="array" ref="L7:N12">wallets[]</f>
        <v>cash</v>
      </c>
      <c r="M7" s="77">
        <v>0</v>
      </c>
      <c r="N7" s="184">
        <v>0</v>
      </c>
      <c r="O7" s="35"/>
    </row>
    <row r="8" spans="2:15">
      <c r="B8" s="122"/>
      <c r="C8" s="3"/>
      <c r="H8" s="95"/>
      <c r="J8" s="34"/>
      <c r="K8" s="179"/>
      <c r="L8" s="40" t="str">
        <v>mb bank</v>
      </c>
      <c r="M8" s="77">
        <v>0</v>
      </c>
      <c r="N8" s="184">
        <v>0</v>
      </c>
      <c r="O8" s="35"/>
    </row>
    <row r="9" spans="2:15">
      <c r="B9" s="122"/>
      <c r="C9" s="3"/>
      <c r="H9" s="95"/>
      <c r="J9" s="34"/>
      <c r="K9" s="180"/>
      <c r="L9" s="40" t="str">
        <v>timo</v>
      </c>
      <c r="M9" s="77">
        <v>-50</v>
      </c>
      <c r="N9" s="184">
        <v>1</v>
      </c>
      <c r="O9" s="35"/>
    </row>
    <row r="10" spans="2:15">
      <c r="B10" s="94"/>
      <c r="C10" s="3"/>
      <c r="H10" s="95"/>
      <c r="J10" s="34"/>
      <c r="K10" s="181"/>
      <c r="L10" s="40" t="str">
        <v>vietcombank</v>
      </c>
      <c r="M10" s="77">
        <v>0</v>
      </c>
      <c r="N10" s="184">
        <v>0</v>
      </c>
      <c r="O10" s="35"/>
    </row>
    <row r="11" spans="2:15">
      <c r="B11" s="94"/>
      <c r="C11" s="3"/>
      <c r="H11" s="95"/>
      <c r="J11" s="34"/>
      <c r="K11" s="182"/>
      <c r="L11" s="40" t="str">
        <v>msb</v>
      </c>
      <c r="M11" s="77">
        <v>0</v>
      </c>
      <c r="N11" s="184">
        <v>0</v>
      </c>
      <c r="O11" s="35"/>
    </row>
    <row r="12" spans="2:15">
      <c r="B12" s="94"/>
      <c r="C12" s="3"/>
      <c r="H12" s="95"/>
      <c r="J12" s="34"/>
      <c r="K12" s="183"/>
      <c r="L12" s="40" t="str">
        <v>shopee pay</v>
      </c>
      <c r="M12" s="77">
        <v>0</v>
      </c>
      <c r="N12" s="184">
        <v>0</v>
      </c>
      <c r="O12" s="35"/>
    </row>
    <row r="13" spans="2:15" ht="19.5">
      <c r="B13" s="94"/>
      <c r="C13" s="3"/>
      <c r="D13" s="3"/>
      <c r="H13" s="95"/>
      <c r="J13" s="34"/>
      <c r="K13" s="54"/>
      <c r="L13" s="55" t="s">
        <v>1</v>
      </c>
      <c r="M13" s="56">
        <f>SUM(M7:M12)</f>
        <v>-50</v>
      </c>
      <c r="N13" s="57">
        <f>SUM(N7:N12)</f>
        <v>1</v>
      </c>
      <c r="O13" s="35"/>
    </row>
    <row r="14" spans="2:15">
      <c r="B14" s="122"/>
      <c r="E14" s="3"/>
      <c r="F14" s="3"/>
      <c r="G14" s="3"/>
      <c r="H14" s="123"/>
      <c r="J14" s="34"/>
      <c r="L14" s="40"/>
      <c r="M14" s="77"/>
      <c r="N14" s="184"/>
      <c r="O14" s="35"/>
    </row>
    <row r="15" spans="2:15" ht="19.5">
      <c r="B15" s="122"/>
      <c r="E15" s="3"/>
      <c r="F15" s="3"/>
      <c r="G15" s="3"/>
      <c r="H15" s="123"/>
      <c r="J15" s="41"/>
      <c r="K15" s="42"/>
      <c r="L15" s="36"/>
      <c r="M15" s="37"/>
      <c r="N15" s="38"/>
      <c r="O15" s="39"/>
    </row>
    <row r="16" spans="2:15">
      <c r="B16" s="122"/>
      <c r="H16" s="123"/>
    </row>
    <row r="17" spans="2:23" ht="21">
      <c r="B17" s="122"/>
      <c r="H17" s="123"/>
      <c r="J17" s="186" t="s">
        <v>86</v>
      </c>
      <c r="K17" s="187"/>
      <c r="L17" s="187"/>
      <c r="M17" s="187"/>
      <c r="N17" s="187"/>
      <c r="O17" s="188"/>
    </row>
    <row r="18" spans="2:23" ht="17.25" customHeight="1">
      <c r="B18" s="122"/>
      <c r="D18" s="167"/>
      <c r="E18" s="4" t="s">
        <v>60</v>
      </c>
      <c r="F18" s="13">
        <f>wallets[[#Totals],[balance]]</f>
        <v>-50</v>
      </c>
      <c r="G18" s="61">
        <f t="shared" ref="G18:G23" ca="1" si="0">F18/$F$23</f>
        <v>-3.2124953076665283E-2</v>
      </c>
      <c r="H18" s="123"/>
      <c r="J18" s="72"/>
      <c r="O18" s="73"/>
    </row>
    <row r="19" spans="2:23" ht="18" customHeight="1">
      <c r="B19" s="122"/>
      <c r="D19" s="168"/>
      <c r="E19" s="4" t="s">
        <v>96</v>
      </c>
      <c r="F19" s="121">
        <f ca="1">savings[[#Totals],[balance]]</f>
        <v>1000.1315068493151</v>
      </c>
      <c r="G19" s="61">
        <f t="shared" ca="1" si="0"/>
        <v>0.64258355456057581</v>
      </c>
      <c r="H19" s="123"/>
      <c r="J19" s="72"/>
      <c r="K19" s="83"/>
      <c r="L19" s="84" t="s">
        <v>102</v>
      </c>
      <c r="M19" s="91">
        <f ca="1">VLOOKUP(L19,funds[],5, FALSE)</f>
        <v>0.50003287455071455</v>
      </c>
      <c r="N19" s="85">
        <f ca="1">M19/$M$23</f>
        <v>1</v>
      </c>
      <c r="O19" s="86"/>
    </row>
    <row r="20" spans="2:23" ht="19.5" customHeight="1">
      <c r="B20" s="122"/>
      <c r="D20" s="169"/>
      <c r="E20" s="4" t="s">
        <v>58</v>
      </c>
      <c r="F20" s="121">
        <f>fund_certs[[#Totals],[balance]]</f>
        <v>556.29100000000005</v>
      </c>
      <c r="G20" s="61">
        <f t="shared" ca="1" si="0"/>
        <v>0.35741644543942419</v>
      </c>
      <c r="H20" s="123"/>
      <c r="J20" s="72"/>
      <c r="K20" s="88"/>
      <c r="L20" s="87" t="s">
        <v>103</v>
      </c>
      <c r="M20" s="91">
        <f>VLOOKUP(L20,funds[],5, FALSE)</f>
        <v>0</v>
      </c>
      <c r="N20" s="85">
        <f ca="1">M20/$M$23</f>
        <v>0</v>
      </c>
      <c r="O20" s="86"/>
    </row>
    <row r="21" spans="2:23">
      <c r="B21" s="122"/>
      <c r="D21" s="170"/>
      <c r="E21" s="4" t="s">
        <v>108</v>
      </c>
      <c r="F21" s="121">
        <f>SUMIF(debt[type], "=lend", debt[amount]) - SUMIF(debt[type], "=collect", debt[amount]) - SUMIF(debt[type], "=write-off lend", debt[amount])</f>
        <v>50</v>
      </c>
      <c r="G21" s="61">
        <f t="shared" ca="1" si="0"/>
        <v>3.2124953076665283E-2</v>
      </c>
      <c r="H21" s="123"/>
      <c r="J21" s="72"/>
      <c r="K21" s="89"/>
      <c r="L21" s="87" t="s">
        <v>92</v>
      </c>
      <c r="M21" s="91">
        <f>VLOOKUP(L21,funds[],5, FALSE)</f>
        <v>0</v>
      </c>
      <c r="N21" s="85">
        <f ca="1">M21/$M$23</f>
        <v>0</v>
      </c>
      <c r="O21" s="86"/>
    </row>
    <row r="22" spans="2:23">
      <c r="B22" s="122"/>
      <c r="E22" s="4" t="s">
        <v>107</v>
      </c>
      <c r="F22" s="161">
        <f>SUMIF(debt[type], "=borrow", debt[amount]) - SUMIF(debt[type], "=repay", debt[amount]) - SUMIF(debt[type], "=write-off borrow", debt[amount])</f>
        <v>0</v>
      </c>
      <c r="G22" s="61">
        <f t="shared" ca="1" si="0"/>
        <v>0</v>
      </c>
      <c r="H22" s="123"/>
      <c r="J22" s="72"/>
      <c r="K22" s="90"/>
      <c r="L22" s="84" t="s">
        <v>104</v>
      </c>
      <c r="M22" s="91">
        <f>VLOOKUP(L22,funds[],5, FALSE)</f>
        <v>0</v>
      </c>
      <c r="N22" s="85">
        <f ca="1">M22/$M$23</f>
        <v>0</v>
      </c>
      <c r="O22" s="86"/>
      <c r="W22" s="3"/>
    </row>
    <row r="23" spans="2:23">
      <c r="B23" s="122"/>
      <c r="D23" s="6"/>
      <c r="E23" s="78" t="s">
        <v>1</v>
      </c>
      <c r="F23" s="80">
        <f ca="1">SUM(F18:F22)</f>
        <v>1556.4225068493151</v>
      </c>
      <c r="G23" s="79">
        <f t="shared" ca="1" si="0"/>
        <v>1</v>
      </c>
      <c r="H23" s="123"/>
      <c r="J23" s="72"/>
      <c r="L23" s="81" t="s">
        <v>1</v>
      </c>
      <c r="M23" s="80">
        <f ca="1">SUM(M19:M22)</f>
        <v>0.50003287455071455</v>
      </c>
      <c r="N23" s="82">
        <f ca="1">SUM(N19:N22)</f>
        <v>1</v>
      </c>
      <c r="O23" s="86"/>
      <c r="W23" s="3"/>
    </row>
    <row r="24" spans="2:23">
      <c r="B24" s="124"/>
      <c r="C24" s="125"/>
      <c r="D24" s="125"/>
      <c r="E24" s="125"/>
      <c r="F24" s="125"/>
      <c r="G24" s="125"/>
      <c r="H24" s="126"/>
      <c r="J24" s="74"/>
      <c r="K24" s="75"/>
      <c r="L24" s="75"/>
      <c r="M24" s="75"/>
      <c r="N24" s="75"/>
      <c r="O24" s="76"/>
      <c r="W24" s="4"/>
    </row>
    <row r="25" spans="2:23">
      <c r="W25" s="4"/>
    </row>
    <row r="26" spans="2:23" ht="21">
      <c r="B26" s="198" t="s">
        <v>120</v>
      </c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W26" s="4"/>
    </row>
    <row r="27" spans="2:23">
      <c r="B27" s="94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U27" s="95"/>
    </row>
    <row r="28" spans="2:23" ht="19.5">
      <c r="B28" s="94"/>
      <c r="N28" s="3"/>
      <c r="P28" s="10" t="s">
        <v>119</v>
      </c>
      <c r="S28" s="3"/>
      <c r="U28" s="95"/>
    </row>
    <row r="29" spans="2:23" ht="19.5">
      <c r="B29" s="94"/>
      <c r="N29" s="3"/>
      <c r="P29" s="166" t="s">
        <v>112</v>
      </c>
      <c r="Q29" s="166" t="s">
        <v>27</v>
      </c>
      <c r="R29" s="166" t="s">
        <v>111</v>
      </c>
      <c r="S29" s="166" t="s">
        <v>113</v>
      </c>
      <c r="T29" s="166" t="s">
        <v>114</v>
      </c>
      <c r="U29" s="95"/>
    </row>
    <row r="30" spans="2:23">
      <c r="B30" s="94"/>
      <c r="N30" s="3"/>
      <c r="P30" s="120">
        <f t="shared" ref="P30:P41" ca="1" si="1">DATE(YEAR(P31),MONTH(P31)-1,1)</f>
        <v>45870</v>
      </c>
      <c r="Q30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0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0" s="119">
        <f ca="1">months_stat[[#This Row],[income]]-months_stat[[#This Row],[expense]]</f>
        <v>0</v>
      </c>
      <c r="T30" s="163">
        <f ca="1">IF(months_stat[[#This Row],[income]]&gt;0, (months_stat[[#This Row],[income]]-months_stat[[#This Row],[expense]])/months_stat[[#This Row],[income]], 0)</f>
        <v>0</v>
      </c>
      <c r="U30" s="95"/>
    </row>
    <row r="31" spans="2:23">
      <c r="B31" s="94"/>
      <c r="N31" s="3"/>
      <c r="P31" s="120">
        <f t="shared" ca="1" si="1"/>
        <v>45901</v>
      </c>
      <c r="Q31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1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1" s="119">
        <f ca="1">months_stat[[#This Row],[income]]-months_stat[[#This Row],[expense]]</f>
        <v>0</v>
      </c>
      <c r="T31" s="163">
        <f ca="1">IF(months_stat[[#This Row],[income]]&gt;0, (months_stat[[#This Row],[income]]-months_stat[[#This Row],[expense]])/months_stat[[#This Row],[income]], 0)</f>
        <v>0</v>
      </c>
      <c r="U31" s="95"/>
    </row>
    <row r="32" spans="2:23">
      <c r="B32" s="94"/>
      <c r="N32" s="3"/>
      <c r="P32" s="120">
        <f t="shared" ca="1" si="1"/>
        <v>45931</v>
      </c>
      <c r="Q32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2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2" s="119">
        <f ca="1">months_stat[[#This Row],[income]]-months_stat[[#This Row],[expense]]</f>
        <v>0</v>
      </c>
      <c r="T32" s="163">
        <f ca="1">IF(months_stat[[#This Row],[income]]&gt;0, (months_stat[[#This Row],[income]]-months_stat[[#This Row],[expense]])/months_stat[[#This Row],[income]], 0)</f>
        <v>0</v>
      </c>
      <c r="U32" s="95"/>
    </row>
    <row r="33" spans="2:21">
      <c r="B33" s="94"/>
      <c r="N33" s="3"/>
      <c r="P33" s="120">
        <f t="shared" ca="1" si="1"/>
        <v>45962</v>
      </c>
      <c r="Q33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3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3" s="119">
        <f ca="1">months_stat[[#This Row],[income]]-months_stat[[#This Row],[expense]]</f>
        <v>0</v>
      </c>
      <c r="T33" s="163">
        <f ca="1">IF(months_stat[[#This Row],[income]]&gt;0, (months_stat[[#This Row],[income]]-months_stat[[#This Row],[expense]])/months_stat[[#This Row],[income]], 0)</f>
        <v>0</v>
      </c>
      <c r="U33" s="95"/>
    </row>
    <row r="34" spans="2:21">
      <c r="B34" s="94"/>
      <c r="N34" s="3"/>
      <c r="P34" s="120">
        <f t="shared" ca="1" si="1"/>
        <v>45992</v>
      </c>
      <c r="Q34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4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4" s="119">
        <f ca="1">months_stat[[#This Row],[income]]-months_stat[[#This Row],[expense]]</f>
        <v>0</v>
      </c>
      <c r="T34" s="163">
        <f ca="1">IF(months_stat[[#This Row],[income]]&gt;0, (months_stat[[#This Row],[income]]-months_stat[[#This Row],[expense]])/months_stat[[#This Row],[income]], 0)</f>
        <v>0</v>
      </c>
      <c r="U34" s="95"/>
    </row>
    <row r="35" spans="2:21" ht="18" customHeight="1">
      <c r="B35" s="94"/>
      <c r="N35" s="3"/>
      <c r="P35" s="120">
        <f t="shared" ca="1" si="1"/>
        <v>46023</v>
      </c>
      <c r="Q35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5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5" s="119">
        <f ca="1">months_stat[[#This Row],[income]]-months_stat[[#This Row],[expense]]</f>
        <v>0</v>
      </c>
      <c r="T35" s="163">
        <f ca="1">IF(months_stat[[#This Row],[income]]&gt;0, (months_stat[[#This Row],[income]]-months_stat[[#This Row],[expense]])/months_stat[[#This Row],[income]], 0)</f>
        <v>0</v>
      </c>
      <c r="U35" s="95"/>
    </row>
    <row r="36" spans="2:21">
      <c r="B36" s="94"/>
      <c r="N36" s="3"/>
      <c r="P36" s="120">
        <f t="shared" ca="1" si="1"/>
        <v>46054</v>
      </c>
      <c r="Q36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6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6" s="119">
        <f ca="1">months_stat[[#This Row],[income]]-months_stat[[#This Row],[expense]]</f>
        <v>0</v>
      </c>
      <c r="T36" s="163">
        <f ca="1">IF(months_stat[[#This Row],[income]]&gt;0, (months_stat[[#This Row],[income]]-months_stat[[#This Row],[expense]])/months_stat[[#This Row],[income]], 0)</f>
        <v>0</v>
      </c>
      <c r="U36" s="95"/>
    </row>
    <row r="37" spans="2:21">
      <c r="B37" s="94"/>
      <c r="N37" s="3"/>
      <c r="P37" s="120">
        <f t="shared" ca="1" si="1"/>
        <v>46082</v>
      </c>
      <c r="Q37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7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7" s="119">
        <f ca="1">months_stat[[#This Row],[income]]-months_stat[[#This Row],[expense]]</f>
        <v>0</v>
      </c>
      <c r="T37" s="163">
        <f ca="1">IF(months_stat[[#This Row],[income]]&gt;0, (months_stat[[#This Row],[income]]-months_stat[[#This Row],[expense]])/months_stat[[#This Row],[income]], 0)</f>
        <v>0</v>
      </c>
      <c r="U37" s="95"/>
    </row>
    <row r="38" spans="2:21">
      <c r="B38" s="94"/>
      <c r="N38" s="3"/>
      <c r="P38" s="120">
        <f t="shared" ca="1" si="1"/>
        <v>46113</v>
      </c>
      <c r="Q38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8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8" s="119">
        <f ca="1">months_stat[[#This Row],[income]]-months_stat[[#This Row],[expense]]</f>
        <v>0</v>
      </c>
      <c r="T38" s="163">
        <f ca="1">IF(months_stat[[#This Row],[income]]&gt;0, (months_stat[[#This Row],[income]]-months_stat[[#This Row],[expense]])/months_stat[[#This Row],[income]], 0)</f>
        <v>0</v>
      </c>
      <c r="U38" s="95"/>
    </row>
    <row r="39" spans="2:21">
      <c r="B39" s="94"/>
      <c r="N39" s="3"/>
      <c r="P39" s="120">
        <f t="shared" ca="1" si="1"/>
        <v>46143</v>
      </c>
      <c r="Q39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39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39" s="119">
        <f ca="1">months_stat[[#This Row],[income]]-months_stat[[#This Row],[expense]]</f>
        <v>0</v>
      </c>
      <c r="T39" s="163">
        <f ca="1">IF(months_stat[[#This Row],[income]]&gt;0, (months_stat[[#This Row],[income]]-months_stat[[#This Row],[expense]])/months_stat[[#This Row],[income]], 0)</f>
        <v>0</v>
      </c>
      <c r="U39" s="95"/>
    </row>
    <row r="40" spans="2:21">
      <c r="B40" s="94"/>
      <c r="N40" s="3"/>
      <c r="P40" s="120">
        <f t="shared" ca="1" si="1"/>
        <v>46174</v>
      </c>
      <c r="Q40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40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40" s="119">
        <f ca="1">months_stat[[#This Row],[income]]-months_stat[[#This Row],[expense]]</f>
        <v>0</v>
      </c>
      <c r="T40" s="163">
        <f ca="1">IF(months_stat[[#This Row],[income]]&gt;0, (months_stat[[#This Row],[income]]-months_stat[[#This Row],[expense]])/months_stat[[#This Row],[income]], 0)</f>
        <v>0</v>
      </c>
      <c r="U40" s="95"/>
    </row>
    <row r="41" spans="2:21">
      <c r="B41" s="94"/>
      <c r="N41" s="3"/>
      <c r="P41" s="120">
        <f t="shared" ca="1" si="1"/>
        <v>46204</v>
      </c>
      <c r="Q41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41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41" s="119">
        <f ca="1">months_stat[[#This Row],[income]]-months_stat[[#This Row],[expense]]</f>
        <v>0</v>
      </c>
      <c r="T41" s="163">
        <f ca="1">IF(months_stat[[#This Row],[income]]&gt;0, (months_stat[[#This Row],[income]]-months_stat[[#This Row],[expense]])/months_stat[[#This Row],[income]], 0)</f>
        <v>0</v>
      </c>
      <c r="U41" s="95"/>
    </row>
    <row r="42" spans="2:21">
      <c r="B42" s="94"/>
      <c r="P42" s="120">
        <f ca="1">DATE(YEAR(TODAY()), MONTH(TODAY()), 1)</f>
        <v>46235</v>
      </c>
      <c r="Q42" s="119">
        <f ca="1">SUMIFS(transactions[amount], transactions[type], "=income",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R42" s="119">
        <f ca="1">0 - SUMIFS(transactions[amount], transactions[type], "=expense", transactions[date], "&gt;="&amp;DATE(YEAR(months_stat[[#This Row],[month]]), MONTH(months_stat[[#This Row],[month]]), 1), transactions[date], "&lt;="&amp;DATE(YEAR(months_stat[[#This Row],[month]]), MONTH(months_stat[[#This Row],[month]]) + 1, 0))</f>
        <v>0</v>
      </c>
      <c r="S42" s="119">
        <f ca="1">months_stat[[#This Row],[income]]-months_stat[[#This Row],[expense]]</f>
        <v>0</v>
      </c>
      <c r="T42" s="163">
        <f ca="1">IF(months_stat[[#This Row],[income]]&gt;0, (months_stat[[#This Row],[income]]-months_stat[[#This Row],[expense]])/months_stat[[#This Row],[income]], 0)</f>
        <v>0</v>
      </c>
      <c r="U42" s="95"/>
    </row>
    <row r="43" spans="2:21">
      <c r="B43" s="94"/>
      <c r="U43" s="95"/>
    </row>
    <row r="44" spans="2:21">
      <c r="B44" s="94"/>
      <c r="U44" s="95"/>
    </row>
    <row r="45" spans="2:21">
      <c r="B45" s="94"/>
      <c r="U45" s="95"/>
    </row>
    <row r="46" spans="2:21">
      <c r="B46" s="94"/>
      <c r="C46" s="120"/>
      <c r="D46" s="119"/>
      <c r="E46" s="119"/>
      <c r="F46" s="119"/>
      <c r="G46" s="163"/>
      <c r="U46" s="95"/>
    </row>
    <row r="47" spans="2:21">
      <c r="B47" s="94"/>
      <c r="C47" s="120"/>
      <c r="D47" s="119"/>
      <c r="E47" s="119"/>
      <c r="F47" s="119"/>
      <c r="G47" s="163"/>
      <c r="U47" s="95"/>
    </row>
    <row r="48" spans="2:21">
      <c r="B48" s="94"/>
      <c r="C48" s="120"/>
      <c r="D48" s="119"/>
      <c r="E48" s="119"/>
      <c r="F48" s="119"/>
      <c r="G48" s="163"/>
      <c r="O48" s="3"/>
      <c r="P48" s="3"/>
      <c r="Q48" s="3"/>
      <c r="R48" s="3"/>
      <c r="S48" s="3"/>
      <c r="T48" s="3"/>
      <c r="U48" s="95"/>
    </row>
    <row r="49" spans="2:24">
      <c r="B49" s="94"/>
      <c r="C49" s="120"/>
      <c r="D49" s="119"/>
      <c r="E49" s="119"/>
      <c r="F49" s="119"/>
      <c r="G49" s="163"/>
      <c r="O49" s="3"/>
      <c r="P49" s="3"/>
      <c r="Q49" s="3"/>
      <c r="U49" s="95"/>
    </row>
    <row r="50" spans="2:24">
      <c r="B50" s="94"/>
      <c r="O50" s="3"/>
      <c r="P50" s="3"/>
      <c r="Q50" s="3"/>
      <c r="U50" s="95"/>
    </row>
    <row r="51" spans="2:24">
      <c r="B51" s="94"/>
      <c r="O51" s="3"/>
      <c r="P51" s="3"/>
      <c r="Q51" s="3"/>
      <c r="U51" s="95"/>
    </row>
    <row r="52" spans="2:24">
      <c r="B52" s="94"/>
      <c r="O52" s="3"/>
      <c r="P52" s="3"/>
      <c r="Q52" s="3"/>
      <c r="U52" s="95"/>
    </row>
    <row r="53" spans="2:24">
      <c r="B53" s="94"/>
      <c r="O53" s="3"/>
      <c r="P53" s="3"/>
      <c r="Q53" s="3"/>
      <c r="U53" s="95"/>
      <c r="X53" s="6"/>
    </row>
    <row r="54" spans="2:24">
      <c r="B54" s="94"/>
      <c r="U54" s="95"/>
      <c r="X54" s="7"/>
    </row>
    <row r="55" spans="2:24">
      <c r="B55" s="94"/>
      <c r="U55" s="95"/>
    </row>
    <row r="56" spans="2:24">
      <c r="B56" s="94"/>
      <c r="U56" s="95"/>
    </row>
    <row r="57" spans="2:24">
      <c r="B57" s="94"/>
      <c r="U57" s="95"/>
    </row>
    <row r="58" spans="2:24">
      <c r="B58" s="94"/>
      <c r="U58" s="95"/>
    </row>
    <row r="59" spans="2:24">
      <c r="B59" s="94"/>
      <c r="U59" s="95"/>
    </row>
    <row r="60" spans="2:24">
      <c r="B60" s="94"/>
      <c r="U60" s="95"/>
    </row>
    <row r="61" spans="2:24">
      <c r="B61" s="94"/>
      <c r="U61" s="95"/>
    </row>
    <row r="62" spans="2:24">
      <c r="B62" s="94"/>
      <c r="U62" s="95"/>
    </row>
    <row r="63" spans="2:24">
      <c r="B63" s="94"/>
      <c r="U63" s="95"/>
    </row>
    <row r="64" spans="2:24">
      <c r="B64" s="94"/>
      <c r="U64" s="95"/>
    </row>
    <row r="65" spans="2:21">
      <c r="B65" s="94"/>
      <c r="R65" s="142" t="s">
        <v>24</v>
      </c>
      <c r="S65" t="s" vm="5">
        <v>143</v>
      </c>
      <c r="U65" s="95"/>
    </row>
    <row r="66" spans="2:21">
      <c r="B66" s="94"/>
      <c r="R66" s="142" t="s">
        <v>115</v>
      </c>
      <c r="S66" t="s" vm="4">
        <v>143</v>
      </c>
      <c r="U66" s="95"/>
    </row>
    <row r="67" spans="2:21">
      <c r="B67" s="94"/>
      <c r="U67" s="95"/>
    </row>
    <row r="68" spans="2:21">
      <c r="B68" s="94"/>
      <c r="C68" s="120"/>
      <c r="D68" s="119"/>
      <c r="E68" s="119"/>
      <c r="F68" s="119"/>
      <c r="G68" s="163"/>
      <c r="R68" s="142" t="s">
        <v>27</v>
      </c>
      <c r="U68" s="95"/>
    </row>
    <row r="69" spans="2:21">
      <c r="B69" s="94"/>
      <c r="C69" s="120"/>
      <c r="D69" s="119"/>
      <c r="E69" s="119"/>
      <c r="F69" s="119"/>
      <c r="G69" s="163"/>
      <c r="R69" s="143" t="s">
        <v>31</v>
      </c>
      <c r="U69" s="95"/>
    </row>
    <row r="70" spans="2:21">
      <c r="B70" s="94"/>
      <c r="C70" s="120"/>
      <c r="D70" s="119"/>
      <c r="E70" s="119"/>
      <c r="F70" s="119"/>
      <c r="G70" s="163"/>
      <c r="O70" s="3"/>
      <c r="P70" s="3"/>
      <c r="Q70" s="3"/>
      <c r="R70" s="143" t="s">
        <v>20</v>
      </c>
      <c r="U70" s="95"/>
    </row>
    <row r="71" spans="2:21">
      <c r="B71" s="94"/>
      <c r="C71" s="120"/>
      <c r="D71" s="119"/>
      <c r="E71" s="119"/>
      <c r="F71" s="119"/>
      <c r="G71" s="163"/>
      <c r="O71" s="3"/>
      <c r="P71" s="3"/>
      <c r="Q71" s="3"/>
      <c r="U71" s="95"/>
    </row>
    <row r="72" spans="2:21">
      <c r="B72" s="94"/>
      <c r="O72" s="3"/>
      <c r="P72" s="3"/>
      <c r="Q72" s="3"/>
      <c r="U72" s="95"/>
    </row>
    <row r="73" spans="2:21">
      <c r="B73" s="94"/>
      <c r="O73" s="3"/>
      <c r="P73" s="3"/>
      <c r="Q73" s="3"/>
      <c r="U73" s="95"/>
    </row>
    <row r="74" spans="2:21">
      <c r="B74" s="94"/>
      <c r="O74" s="3"/>
      <c r="P74" s="3"/>
      <c r="Q74" s="3"/>
      <c r="U74" s="95"/>
    </row>
    <row r="75" spans="2:21">
      <c r="B75" s="94"/>
      <c r="O75" s="3"/>
      <c r="P75" s="3"/>
      <c r="Q75" s="3"/>
      <c r="U75" s="95"/>
    </row>
    <row r="76" spans="2:21">
      <c r="B76" s="94"/>
      <c r="U76" s="95"/>
    </row>
    <row r="77" spans="2:21">
      <c r="B77" s="94"/>
      <c r="U77" s="95"/>
    </row>
    <row r="78" spans="2:21">
      <c r="B78" s="94"/>
      <c r="U78" s="95"/>
    </row>
    <row r="79" spans="2:21">
      <c r="B79" s="94"/>
      <c r="R79" s="142" t="s">
        <v>24</v>
      </c>
      <c r="S79" t="s" vm="3">
        <v>111</v>
      </c>
      <c r="U79" s="95"/>
    </row>
    <row r="80" spans="2:21">
      <c r="B80" s="94"/>
      <c r="R80" s="142" t="s">
        <v>115</v>
      </c>
      <c r="S80" t="s" vm="4">
        <v>143</v>
      </c>
      <c r="U80" s="95"/>
    </row>
    <row r="81" spans="2:21">
      <c r="B81" s="94"/>
      <c r="U81" s="95"/>
    </row>
    <row r="82" spans="2:21">
      <c r="B82" s="94"/>
      <c r="R82" s="142" t="s">
        <v>19</v>
      </c>
      <c r="U82" s="95"/>
    </row>
    <row r="83" spans="2:21">
      <c r="B83" s="94"/>
      <c r="R83" s="143" t="s">
        <v>31</v>
      </c>
      <c r="U83" s="95"/>
    </row>
    <row r="84" spans="2:21">
      <c r="B84" s="94"/>
      <c r="R84" s="164" t="s">
        <v>41</v>
      </c>
      <c r="U84" s="95"/>
    </row>
    <row r="85" spans="2:21">
      <c r="B85" s="94"/>
      <c r="R85" s="143" t="s">
        <v>20</v>
      </c>
      <c r="U85" s="95"/>
    </row>
    <row r="86" spans="2:21">
      <c r="B86" s="94"/>
      <c r="U86" s="95"/>
    </row>
    <row r="87" spans="2:21">
      <c r="B87" s="94"/>
      <c r="U87" s="95"/>
    </row>
    <row r="88" spans="2:21">
      <c r="B88" s="94"/>
      <c r="U88" s="95"/>
    </row>
    <row r="89" spans="2:21">
      <c r="B89" s="94"/>
      <c r="U89" s="95"/>
    </row>
    <row r="90" spans="2:21">
      <c r="B90" s="94"/>
      <c r="U90" s="95"/>
    </row>
    <row r="91" spans="2:21">
      <c r="B91" s="94"/>
      <c r="U91" s="95"/>
    </row>
    <row r="92" spans="2:21">
      <c r="B92" s="94"/>
      <c r="U92" s="95"/>
    </row>
    <row r="93" spans="2:21">
      <c r="B93" s="94"/>
      <c r="U93" s="95"/>
    </row>
    <row r="94" spans="2:21">
      <c r="B94" s="124"/>
      <c r="C94" s="125"/>
      <c r="D94" s="125"/>
      <c r="E94" s="125"/>
      <c r="F94" s="96"/>
      <c r="G94" s="96"/>
      <c r="H94" s="96"/>
      <c r="I94" s="96"/>
      <c r="J94" s="96"/>
      <c r="K94" s="96"/>
      <c r="L94" s="96"/>
      <c r="M94" s="96"/>
      <c r="N94" s="125"/>
      <c r="O94" s="125"/>
      <c r="P94" s="125"/>
      <c r="Q94" s="96"/>
      <c r="R94" s="96"/>
      <c r="S94" s="96"/>
      <c r="T94" s="96"/>
      <c r="U94" s="126"/>
    </row>
    <row r="99" spans="15:20">
      <c r="O99" s="4"/>
      <c r="P99" s="4"/>
      <c r="Q99" s="4"/>
      <c r="R99" s="4"/>
      <c r="S99" s="4"/>
      <c r="T99" s="4"/>
    </row>
    <row r="100" spans="15:20">
      <c r="O100" s="4"/>
      <c r="P100" s="4"/>
      <c r="Q100" s="4"/>
      <c r="R100" s="4"/>
      <c r="S100" s="4"/>
      <c r="T100" s="4"/>
    </row>
  </sheetData>
  <dataConsolidate link="1"/>
  <mergeCells count="4">
    <mergeCell ref="J5:O5"/>
    <mergeCell ref="B5:H5"/>
    <mergeCell ref="B2:H3"/>
    <mergeCell ref="B26:U26"/>
  </mergeCells>
  <conditionalFormatting sqref="L15">
    <cfRule type="expression" dxfId="6" priority="12">
      <formula>$L15&lt;=0</formula>
    </cfRule>
  </conditionalFormatting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D1206-2BBA-47C6-BBE5-53607D4F9C49}">
  <sheetPr codeName="Sheet2"/>
  <dimension ref="B2:AF21"/>
  <sheetViews>
    <sheetView zoomScale="145" zoomScaleNormal="145" workbookViewId="0">
      <selection activeCell="B2" sqref="B2:D3"/>
    </sheetView>
  </sheetViews>
  <sheetFormatPr defaultColWidth="9.09765625" defaultRowHeight="14.25"/>
  <cols>
    <col min="1" max="1" width="3.69921875" style="3" customWidth="1"/>
    <col min="2" max="2" width="16.8984375" style="3" bestFit="1" customWidth="1"/>
    <col min="3" max="3" width="14.8984375" style="3" customWidth="1"/>
    <col min="4" max="4" width="16.8984375" style="3" bestFit="1" customWidth="1"/>
    <col min="5" max="5" width="16.19921875" style="3" customWidth="1"/>
    <col min="6" max="6" width="17.59765625" style="3" bestFit="1" customWidth="1"/>
    <col min="7" max="7" width="20.59765625" style="3" customWidth="1"/>
    <col min="8" max="8" width="22.09765625" style="3" customWidth="1"/>
    <col min="9" max="9" width="15.59765625" style="3" customWidth="1"/>
    <col min="10" max="10" width="9.59765625" style="3" customWidth="1"/>
    <col min="11" max="11" width="9.296875" style="3" customWidth="1"/>
    <col min="12" max="12" width="11" style="3" customWidth="1"/>
    <col min="13" max="13" width="8.69921875" style="3" customWidth="1"/>
    <col min="14" max="14" width="14.69921875" style="3" customWidth="1"/>
    <col min="15" max="15" width="13.19921875" style="3" customWidth="1"/>
    <col min="16" max="16" width="10" style="3" customWidth="1"/>
    <col min="17" max="17" width="9.19921875" style="3" customWidth="1"/>
    <col min="18" max="18" width="4.69921875" style="3" customWidth="1"/>
    <col min="19" max="20" width="5" style="3" customWidth="1"/>
    <col min="21" max="16384" width="9.09765625" style="3"/>
  </cols>
  <sheetData>
    <row r="2" spans="2:32" ht="14.25" customHeight="1">
      <c r="B2" s="197" t="s">
        <v>63</v>
      </c>
      <c r="C2" s="197"/>
      <c r="D2" s="197"/>
      <c r="E2" s="9"/>
      <c r="F2" s="9"/>
      <c r="G2" s="9"/>
      <c r="H2" s="9"/>
      <c r="I2" s="9"/>
    </row>
    <row r="3" spans="2:32" ht="14.25" customHeight="1">
      <c r="B3" s="197"/>
      <c r="C3" s="197"/>
      <c r="D3" s="197"/>
      <c r="E3" s="9"/>
      <c r="F3" s="9"/>
      <c r="G3" s="9"/>
      <c r="H3" s="9"/>
      <c r="I3" s="9"/>
    </row>
    <row r="4" spans="2:32" ht="14.25" customHeight="1">
      <c r="B4" s="33"/>
      <c r="C4" s="33"/>
      <c r="D4" s="33"/>
      <c r="E4" s="9"/>
      <c r="F4" s="9"/>
      <c r="G4" s="9"/>
      <c r="H4" s="9"/>
      <c r="I4" s="9"/>
    </row>
    <row r="5" spans="2:32" ht="18" customHeight="1">
      <c r="B5" s="12" t="s">
        <v>60</v>
      </c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</row>
    <row r="6" spans="2:32" ht="19.5">
      <c r="B6" s="29" t="s">
        <v>23</v>
      </c>
      <c r="C6" s="30" t="s">
        <v>61</v>
      </c>
      <c r="D6" s="29" t="s">
        <v>62</v>
      </c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2:32" ht="18">
      <c r="B7" s="50" t="s">
        <v>88</v>
      </c>
      <c r="C7" s="77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0</v>
      </c>
      <c r="D7" s="185">
        <f>wallets[[#This Row],[balance]]/SUM(wallets[balance])</f>
        <v>0</v>
      </c>
    </row>
    <row r="8" spans="2:32" ht="18">
      <c r="B8" s="50" t="s">
        <v>137</v>
      </c>
      <c r="C8" s="77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0</v>
      </c>
      <c r="D8" s="51">
        <f>wallets[[#This Row],[balance]]/SUM(wallets[balance])</f>
        <v>0</v>
      </c>
    </row>
    <row r="9" spans="2:32" ht="18">
      <c r="B9" s="50" t="s">
        <v>136</v>
      </c>
      <c r="C9" s="177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-50</v>
      </c>
      <c r="D9" s="51">
        <f>wallets[[#This Row],[balance]]/SUM(wallets[balance])</f>
        <v>1</v>
      </c>
      <c r="F9" s="7"/>
    </row>
    <row r="10" spans="2:32" ht="18">
      <c r="B10" s="50" t="s">
        <v>138</v>
      </c>
      <c r="C10" s="77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0</v>
      </c>
      <c r="D10" s="51">
        <f>wallets[[#This Row],[balance]]/SUM(wallets[balance])</f>
        <v>0</v>
      </c>
    </row>
    <row r="11" spans="2:32" ht="18">
      <c r="B11" s="50" t="s">
        <v>139</v>
      </c>
      <c r="C11" s="77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0</v>
      </c>
      <c r="D11" s="51">
        <f>wallets[[#This Row],[balance]]/SUM(wallets[balance])</f>
        <v>0</v>
      </c>
    </row>
    <row r="12" spans="2:32" ht="18">
      <c r="B12" s="50" t="s">
        <v>140</v>
      </c>
      <c r="C12" s="77">
        <f xml:space="preserve"> SUMIF(transactions[wallet], "=" &amp; wallets[[#This Row],[wallet]], transactions[amount]) - SUMIF(transfers[from], "=" &amp;wallets[[#This Row],[wallet]], transfers[amount]) + SUMIF(transfers[to], "=" &amp;wallets[[#This Row],[wallet]], transfers[amount]) + SUMIFS(debt[amount], debt[type], "=borrow", debt[wallet], "=" &amp; wallets[[#This Row],[wallet]]) - SUMIFS(debt[amount], debt[type], "=repay", debt[wallet], "=" &amp; wallets[[#This Row],[wallet]]) - SUMIFS(debt[amount], debt[type], "=lend", debt[wallet], "=" &amp; wallets[[#This Row],[wallet]]) + SUMIFS(debt[amount], debt[type], "=collect", debt[wallet], "=" &amp; wallets[[#This Row],[wallet]])</f>
        <v>0</v>
      </c>
      <c r="D12" s="185">
        <f>wallets[[#This Row],[balance]]/SUM(wallets[balance])</f>
        <v>0</v>
      </c>
    </row>
    <row r="13" spans="2:32" ht="19.5">
      <c r="B13" s="52" t="s">
        <v>1</v>
      </c>
      <c r="C13" s="43">
        <f>SUM(wallets[balance])</f>
        <v>-50</v>
      </c>
      <c r="D13" s="44">
        <f>SUBTOTAL(109,wallets[rate])</f>
        <v>1</v>
      </c>
      <c r="F13" s="50"/>
    </row>
    <row r="14" spans="2:32" ht="18">
      <c r="F14" s="50"/>
    </row>
    <row r="15" spans="2:32" ht="16.5">
      <c r="B15" s="12" t="s">
        <v>59</v>
      </c>
    </row>
    <row r="16" spans="2:32" ht="19.5">
      <c r="B16" s="29" t="s">
        <v>21</v>
      </c>
      <c r="C16" s="29" t="s">
        <v>22</v>
      </c>
      <c r="D16" s="29" t="s">
        <v>23</v>
      </c>
      <c r="E16" s="29" t="s">
        <v>24</v>
      </c>
      <c r="F16" s="29" t="s">
        <v>26</v>
      </c>
      <c r="G16" s="29" t="s">
        <v>25</v>
      </c>
    </row>
    <row r="17" spans="2:7" ht="18">
      <c r="B17" s="53">
        <v>45751</v>
      </c>
      <c r="C17" s="77"/>
      <c r="D17" s="13" t="s">
        <v>137</v>
      </c>
      <c r="E17" s="4" t="s">
        <v>111</v>
      </c>
      <c r="F17" s="4" t="s">
        <v>31</v>
      </c>
      <c r="G17" s="4" t="s">
        <v>41</v>
      </c>
    </row>
    <row r="18" spans="2:7" ht="18">
      <c r="B18" s="53"/>
      <c r="C18" s="77"/>
      <c r="D18" s="13"/>
      <c r="E18" s="4"/>
      <c r="F18" s="4"/>
      <c r="G18" s="4"/>
    </row>
    <row r="19" spans="2:7" ht="16.5">
      <c r="B19" s="12" t="s">
        <v>64</v>
      </c>
    </row>
    <row r="20" spans="2:7" ht="19.5">
      <c r="B20" s="29" t="s">
        <v>21</v>
      </c>
      <c r="C20" s="29" t="s">
        <v>22</v>
      </c>
      <c r="D20" s="29" t="s">
        <v>65</v>
      </c>
      <c r="E20" s="29" t="s">
        <v>66</v>
      </c>
    </row>
    <row r="21" spans="2:7" ht="18">
      <c r="B21" s="53">
        <f>DATE(2026,7,23)</f>
        <v>46226</v>
      </c>
      <c r="C21" s="77"/>
      <c r="D21" s="13" t="s">
        <v>88</v>
      </c>
      <c r="E21" s="13"/>
    </row>
  </sheetData>
  <mergeCells count="2">
    <mergeCell ref="U5:AF5"/>
    <mergeCell ref="B2:D3"/>
  </mergeCells>
  <phoneticPr fontId="8" type="noConversion"/>
  <conditionalFormatting sqref="C17:C18">
    <cfRule type="expression" dxfId="5" priority="1">
      <formula>$C17&lt;=0</formula>
    </cfRule>
    <cfRule type="expression" dxfId="4" priority="2">
      <formula>$C17&gt;0</formula>
    </cfRule>
  </conditionalFormatting>
  <dataValidations count="6">
    <dataValidation type="custom" allowBlank="1" showInputMessage="1" showErrorMessage="1" sqref="H366 F17:G17 B17:C17" xr:uid="{B988DB15-194D-4B38-AEA7-BB7CA5AE7CFF}">
      <formula1>#REF!&lt;&gt;""</formula1>
    </dataValidation>
    <dataValidation type="list" allowBlank="1" showInputMessage="1" showErrorMessage="1" sqref="D21:E21" xr:uid="{FE936433-BB65-4FA7-9619-CF5503973053}">
      <formula1>INDIRECT("Wallets[wallet]")</formula1>
    </dataValidation>
    <dataValidation type="list" allowBlank="1" showInputMessage="1" showErrorMessage="1" sqref="F18" xr:uid="{FC5757F6-6DBD-47AE-9A17-B6320D974972}">
      <formula1>"essentials,personal &amp; leisure,obligations &amp; transfers,savings &amp; investing"</formula1>
    </dataValidation>
    <dataValidation type="list" allowBlank="1" showInputMessage="1" showErrorMessage="1" sqref="G18" xr:uid="{8E12AA7E-D657-41A9-87E3-E21E58509C79}">
      <formula1>"dining out,personal shopping,repairs &amp; maintenance,entertainment &amp; hobbies,travel &amp; vacation"</formula1>
    </dataValidation>
    <dataValidation type="list" allowBlank="1" showInputMessage="1" showErrorMessage="1" sqref="E17:E18" xr:uid="{31AA9797-AD9D-4FD7-B5E1-BA1277C1F815}">
      <formula1>INDIRECT("classification[type]")</formula1>
    </dataValidation>
    <dataValidation type="list" allowBlank="1" showInputMessage="1" showErrorMessage="1" sqref="D17:D18" xr:uid="{F7DC0155-3522-4F50-844E-E724A781CF76}">
      <formula1>INDIRECT("wallets[wallet]")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482CF-17AB-4ABF-ACFC-6EB29C664A43}">
  <sheetPr codeName="Sheet4"/>
  <dimension ref="B2:H15"/>
  <sheetViews>
    <sheetView zoomScale="145" zoomScaleNormal="145" workbookViewId="0">
      <selection activeCell="B2" sqref="B2:C3"/>
    </sheetView>
  </sheetViews>
  <sheetFormatPr defaultRowHeight="14.25"/>
  <cols>
    <col min="1" max="1" width="3" style="3" customWidth="1"/>
    <col min="2" max="2" width="10.69921875" style="3" bestFit="1" customWidth="1"/>
    <col min="3" max="3" width="9.19921875" style="3" bestFit="1" customWidth="1"/>
    <col min="4" max="4" width="17.19921875" style="3" bestFit="1" customWidth="1"/>
    <col min="5" max="5" width="16.296875" style="3" customWidth="1"/>
    <col min="6" max="6" width="13.296875" style="3" customWidth="1"/>
    <col min="7" max="7" width="13.796875" style="3" customWidth="1"/>
    <col min="8" max="8" width="27" style="3" customWidth="1"/>
    <col min="9" max="9" width="5.09765625" style="3" customWidth="1"/>
    <col min="10" max="10" width="4" style="3" bestFit="1" customWidth="1"/>
    <col min="11" max="11" width="4.796875" style="3" bestFit="1" customWidth="1"/>
    <col min="12" max="12" width="9.09765625" style="3" bestFit="1" customWidth="1"/>
    <col min="13" max="16384" width="8.796875" style="3"/>
  </cols>
  <sheetData>
    <row r="2" spans="2:8" ht="14.25" customHeight="1">
      <c r="B2" s="197" t="s">
        <v>84</v>
      </c>
      <c r="C2" s="197"/>
      <c r="D2" s="157" t="s">
        <v>109</v>
      </c>
      <c r="E2" s="159">
        <f>SUMIF(debt[type], "=lend", debt[amount]) - SUMIF(debt[type], "=collect", debt[amount]) - SUMIF(debt[type], "=write-off lend", debt[amount])</f>
        <v>50</v>
      </c>
    </row>
    <row r="3" spans="2:8" ht="14.25" customHeight="1">
      <c r="B3" s="197"/>
      <c r="C3" s="197"/>
      <c r="D3" s="158" t="s">
        <v>107</v>
      </c>
      <c r="E3" s="160">
        <f>SUMIF(debt[type], "=borrow", debt[amount]) - SUMIF(debt[type], "=repay", debt[amount]) - SUMIF(debt[type], "=write-off borrow", debt[amount])</f>
        <v>0</v>
      </c>
    </row>
    <row r="5" spans="2:8" ht="16.5">
      <c r="B5" s="12" t="s">
        <v>85</v>
      </c>
    </row>
    <row r="6" spans="2:8" ht="19.5">
      <c r="B6" s="156" t="s">
        <v>124</v>
      </c>
      <c r="C6" t="s">
        <v>22</v>
      </c>
      <c r="D6"/>
    </row>
    <row r="7" spans="2:8" ht="18">
      <c r="B7" s="132" t="s">
        <v>142</v>
      </c>
      <c r="C7" s="189">
        <v>50</v>
      </c>
      <c r="D7"/>
    </row>
    <row r="8" spans="2:8" ht="18">
      <c r="B8" s="171" t="s">
        <v>20</v>
      </c>
      <c r="C8" s="190">
        <v>50</v>
      </c>
      <c r="D8"/>
    </row>
    <row r="9" spans="2:8" ht="18">
      <c r="B9"/>
      <c r="C9"/>
      <c r="D9"/>
    </row>
    <row r="10" spans="2:8" ht="18">
      <c r="B10"/>
      <c r="C10"/>
      <c r="D10"/>
    </row>
    <row r="11" spans="2:8" ht="18">
      <c r="B11"/>
      <c r="C11"/>
      <c r="D11"/>
    </row>
    <row r="12" spans="2:8" ht="18">
      <c r="B12"/>
      <c r="C12"/>
      <c r="D12"/>
    </row>
    <row r="13" spans="2:8" ht="16.5">
      <c r="B13" s="12" t="s">
        <v>83</v>
      </c>
    </row>
    <row r="14" spans="2:8" ht="19.5">
      <c r="B14" s="29" t="s">
        <v>21</v>
      </c>
      <c r="C14" s="29" t="s">
        <v>67</v>
      </c>
      <c r="D14" s="29" t="s">
        <v>68</v>
      </c>
      <c r="E14" s="29" t="s">
        <v>24</v>
      </c>
      <c r="F14" s="29" t="s">
        <v>22</v>
      </c>
      <c r="G14" s="29" t="s">
        <v>23</v>
      </c>
      <c r="H14" s="29" t="s">
        <v>69</v>
      </c>
    </row>
    <row r="15" spans="2:8" ht="18">
      <c r="B15" s="53">
        <f>DATE(2026, 8, 7)</f>
        <v>46241</v>
      </c>
      <c r="C15" s="4" t="s">
        <v>141</v>
      </c>
      <c r="D15" s="4" t="s">
        <v>142</v>
      </c>
      <c r="E15" s="4" t="s">
        <v>70</v>
      </c>
      <c r="F15" s="77">
        <v>50</v>
      </c>
      <c r="G15" s="13" t="s">
        <v>136</v>
      </c>
      <c r="H15" s="4"/>
    </row>
  </sheetData>
  <mergeCells count="1">
    <mergeCell ref="B2:C3"/>
  </mergeCells>
  <dataValidations count="2">
    <dataValidation type="list" allowBlank="1" showInputMessage="1" showErrorMessage="1" sqref="G15" xr:uid="{F1AA2B5B-9C4A-49EC-807C-B737A95978BB}">
      <formula1>INDIRECT("Wallets[wallet]")</formula1>
    </dataValidation>
    <dataValidation type="list" allowBlank="1" showInputMessage="1" showErrorMessage="1" sqref="E15" xr:uid="{CC9AA362-37B4-4271-BA77-60864C3536DC}">
      <formula1>INDIRECT("debt_type[type]")</formula1>
    </dataValidation>
  </dataValidation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5DDB8-2CE9-44A2-B654-D2A0FA1740AE}">
  <sheetPr codeName="Sheet6"/>
  <dimension ref="A1:L58"/>
  <sheetViews>
    <sheetView zoomScale="125" zoomScaleNormal="125" workbookViewId="0">
      <selection activeCell="B2" sqref="B2:D3"/>
    </sheetView>
  </sheetViews>
  <sheetFormatPr defaultColWidth="8.796875" defaultRowHeight="14.25"/>
  <cols>
    <col min="1" max="1" width="3.69921875" style="1" customWidth="1"/>
    <col min="2" max="2" width="11.296875" style="1" customWidth="1"/>
    <col min="3" max="3" width="12.796875" style="1" customWidth="1"/>
    <col min="4" max="4" width="12.5" style="1" bestFit="1" customWidth="1"/>
    <col min="5" max="5" width="15.19921875" style="1" bestFit="1" customWidth="1"/>
    <col min="6" max="6" width="12.5" style="1" bestFit="1" customWidth="1"/>
    <col min="7" max="7" width="10.3984375" style="1" bestFit="1" customWidth="1"/>
    <col min="8" max="9" width="10.8984375" style="1" customWidth="1"/>
    <col min="10" max="10" width="13.296875" style="1" bestFit="1" customWidth="1"/>
    <col min="11" max="11" width="11.8984375" style="1" customWidth="1"/>
    <col min="12" max="12" width="7.796875" style="1" customWidth="1"/>
    <col min="13" max="13" width="7.59765625" style="1" customWidth="1"/>
    <col min="14" max="16384" width="8.796875" style="1"/>
  </cols>
  <sheetData>
    <row r="1" spans="1:12" ht="10.15" customHeight="1"/>
    <row r="2" spans="1:12" ht="15" customHeight="1">
      <c r="B2" s="201" t="s">
        <v>95</v>
      </c>
      <c r="C2" s="201"/>
      <c r="D2" s="201"/>
      <c r="E2" s="15"/>
    </row>
    <row r="3" spans="1:12" ht="15" customHeight="1">
      <c r="A3" s="15"/>
      <c r="B3" s="201"/>
      <c r="C3" s="201"/>
      <c r="D3" s="201"/>
      <c r="E3" s="15"/>
    </row>
    <row r="4" spans="1:12" ht="15" customHeight="1">
      <c r="A4" s="15"/>
      <c r="B4" s="31"/>
      <c r="C4" s="31"/>
      <c r="D4" s="31"/>
      <c r="E4" s="31"/>
    </row>
    <row r="5" spans="1:12" ht="15" customHeight="1">
      <c r="A5" s="15"/>
      <c r="B5" s="12" t="s">
        <v>86</v>
      </c>
      <c r="E5" s="2"/>
    </row>
    <row r="6" spans="1:12" s="62" customFormat="1" ht="17.25" customHeight="1">
      <c r="A6" s="8"/>
      <c r="B6" s="29" t="s">
        <v>87</v>
      </c>
      <c r="C6" s="29" t="s">
        <v>88</v>
      </c>
      <c r="D6" s="29" t="s">
        <v>125</v>
      </c>
      <c r="E6" s="29" t="s">
        <v>89</v>
      </c>
      <c r="F6" s="29" t="s">
        <v>126</v>
      </c>
      <c r="G6" s="29" t="s">
        <v>128</v>
      </c>
      <c r="H6" s="29" t="s">
        <v>127</v>
      </c>
      <c r="I6" s="29" t="s">
        <v>91</v>
      </c>
      <c r="J6" s="29" t="s">
        <v>92</v>
      </c>
      <c r="K6" s="29" t="s">
        <v>93</v>
      </c>
    </row>
    <row r="7" spans="1:12" s="67" customFormat="1" ht="15" customHeight="1">
      <c r="A7" s="65"/>
      <c r="B7" s="84" t="s">
        <v>102</v>
      </c>
      <c r="C7" s="66">
        <f>VLOOKUP(funds[[#This Row],[fund]], funds_cash[], 2,FALSE )</f>
        <v>1000</v>
      </c>
      <c r="D7" s="176">
        <f ca="1">IFERROR(funds[[#This Row],[cash]]/funds[[#This Row],[total]], 0)</f>
        <v>0.49996712544928557</v>
      </c>
      <c r="E7" s="66">
        <f ca="1">SUMIFS(savings[balance], savings[fund], "="&amp;funds[[#This Row],[fund]])</f>
        <v>1000.1315068493151</v>
      </c>
      <c r="F7" s="176">
        <f ca="1">IFERROR(funds[[#This Row],[saving]]/funds[[#This Row],[total]], 0)</f>
        <v>0.50003287455071455</v>
      </c>
      <c r="G7" s="66">
        <f>SUMIFS(fund_certs[balance], fund_certs[fund], "="&amp;funds[[#This Row],[fund]])</f>
        <v>0</v>
      </c>
      <c r="H7" s="176">
        <f ca="1">IFERROR(funds[[#This Row],[fund cert]]/funds[[#This Row],[total]], 0)</f>
        <v>0</v>
      </c>
      <c r="I7" s="66">
        <f ca="1">funds[[#This Row],[cash]]+funds[[#This Row],[saving]]+funds[[#This Row],[fund cert]]</f>
        <v>2000.131506849315</v>
      </c>
      <c r="J7" s="66">
        <v>30000</v>
      </c>
      <c r="K7" s="176">
        <f ca="1">IF(funds[[#This Row],[target]]=0, 1, funds[[#This Row],[total]]/funds[[#This Row],[target]])</f>
        <v>6.6671050228310505E-2</v>
      </c>
    </row>
    <row r="8" spans="1:12" s="67" customFormat="1" ht="15" customHeight="1">
      <c r="A8" s="65"/>
      <c r="B8" s="87" t="s">
        <v>103</v>
      </c>
      <c r="C8" s="66">
        <f>VLOOKUP(funds[[#This Row],[fund]], funds_cash[], 2,FALSE )</f>
        <v>1000</v>
      </c>
      <c r="D8" s="176">
        <f>IFERROR(funds[[#This Row],[cash]]/funds[[#This Row],[total]], 0)</f>
        <v>1</v>
      </c>
      <c r="E8" s="66">
        <f>SUMIFS(savings[balance], savings[fund], "="&amp;funds[[#This Row],[fund]])</f>
        <v>0</v>
      </c>
      <c r="F8" s="176">
        <f>IFERROR(funds[[#This Row],[saving]]/funds[[#This Row],[total]], 0)</f>
        <v>0</v>
      </c>
      <c r="G8" s="66">
        <f>SUMIFS(fund_certs[balance], fund_certs[fund], "="&amp;funds[[#This Row],[fund]])</f>
        <v>0</v>
      </c>
      <c r="H8" s="176">
        <f>IFERROR(funds[[#This Row],[fund cert]]/funds[[#This Row],[total]], 0)</f>
        <v>0</v>
      </c>
      <c r="I8" s="66">
        <f>funds[[#This Row],[cash]]+funds[[#This Row],[saving]]+funds[[#This Row],[fund cert]]</f>
        <v>1000</v>
      </c>
      <c r="J8" s="66">
        <v>13000</v>
      </c>
      <c r="K8" s="176">
        <f>IF(funds[[#This Row],[target]]=0, 1, funds[[#This Row],[total]]/funds[[#This Row],[target]])</f>
        <v>7.6923076923076927E-2</v>
      </c>
    </row>
    <row r="9" spans="1:12" s="67" customFormat="1" ht="15" customHeight="1">
      <c r="A9" s="65"/>
      <c r="B9" s="84" t="s">
        <v>92</v>
      </c>
      <c r="C9" s="66">
        <f>VLOOKUP(funds[[#This Row],[fund]], funds_cash[], 2,FALSE )</f>
        <v>0</v>
      </c>
      <c r="D9" s="176">
        <f>IFERROR(funds[[#This Row],[cash]]/funds[[#This Row],[total]], 0)</f>
        <v>0</v>
      </c>
      <c r="E9" s="66">
        <f>SUMIFS(savings[balance], savings[fund], "="&amp;funds[[#This Row],[fund]])</f>
        <v>0</v>
      </c>
      <c r="F9" s="176">
        <f>IFERROR(funds[[#This Row],[saving]]/funds[[#This Row],[total]], 0)</f>
        <v>0</v>
      </c>
      <c r="G9" s="66">
        <f>SUMIFS(fund_certs[balance], fund_certs[fund], "="&amp;funds[[#This Row],[fund]])</f>
        <v>0</v>
      </c>
      <c r="H9" s="176">
        <f>IFERROR(funds[[#This Row],[fund cert]]/funds[[#This Row],[total]], 0)</f>
        <v>0</v>
      </c>
      <c r="I9" s="66">
        <f>funds[[#This Row],[cash]]+funds[[#This Row],[saving]]+funds[[#This Row],[fund cert]]</f>
        <v>0</v>
      </c>
      <c r="J9" s="66">
        <v>11000</v>
      </c>
      <c r="K9" s="176">
        <f>IF(funds[[#This Row],[target]]=0, 1, funds[[#This Row],[total]]/funds[[#This Row],[target]])</f>
        <v>0</v>
      </c>
    </row>
    <row r="10" spans="1:12" s="67" customFormat="1" ht="15" customHeight="1">
      <c r="A10" s="65"/>
      <c r="B10" s="84" t="s">
        <v>104</v>
      </c>
      <c r="C10" s="66">
        <f>VLOOKUP(funds[[#This Row],[fund]], funds_cash[], 2,FALSE )</f>
        <v>2000</v>
      </c>
      <c r="D10" s="176">
        <f>IFERROR(funds[[#This Row],[cash]]/funds[[#This Row],[total]], 0)</f>
        <v>0.78238353927624038</v>
      </c>
      <c r="E10" s="66">
        <f>SUMIFS(savings[balance], savings[fund], "="&amp;funds[[#This Row],[fund]])</f>
        <v>0</v>
      </c>
      <c r="F10" s="176">
        <f>IFERROR(funds[[#This Row],[saving]]/funds[[#This Row],[total]], 0)</f>
        <v>0</v>
      </c>
      <c r="G10" s="66">
        <f>SUMIFS(fund_certs[balance], fund_certs[fund], "="&amp;funds[[#This Row],[fund]])</f>
        <v>556.29100000000005</v>
      </c>
      <c r="H10" s="176">
        <f>IFERROR(funds[[#This Row],[fund cert]]/funds[[#This Row],[total]], 0)</f>
        <v>0.21761646072375954</v>
      </c>
      <c r="I10" s="66">
        <f>funds[[#This Row],[cash]]+funds[[#This Row],[saving]]+funds[[#This Row],[fund cert]]</f>
        <v>2556.2910000000002</v>
      </c>
      <c r="J10" s="66">
        <v>50000</v>
      </c>
      <c r="K10" s="176">
        <f>IF(funds[[#This Row],[target]]=0, 1, funds[[#This Row],[total]]/funds[[#This Row],[target]])</f>
        <v>5.1125820000000002E-2</v>
      </c>
    </row>
    <row r="11" spans="1:12" s="67" customFormat="1" ht="15" customHeight="1">
      <c r="A11" s="65"/>
      <c r="B11" s="116" t="s">
        <v>1</v>
      </c>
      <c r="C11" s="69"/>
      <c r="D11" s="69"/>
      <c r="E11" s="69"/>
      <c r="F11" s="69"/>
      <c r="G11" s="69"/>
      <c r="H11" s="69"/>
      <c r="I11" s="70">
        <f ca="1">SUBTOTAL(109,funds[total])</f>
        <v>5556.4225068493151</v>
      </c>
      <c r="J11" s="116"/>
      <c r="K11" s="69"/>
    </row>
    <row r="12" spans="1:12" s="67" customFormat="1" ht="15" customHeight="1">
      <c r="A12" s="65"/>
      <c r="B12" s="172"/>
      <c r="C12" s="173"/>
      <c r="D12" s="173"/>
      <c r="E12" s="173"/>
      <c r="F12" s="174"/>
      <c r="G12" s="172"/>
      <c r="H12" s="173"/>
      <c r="J12" s="172"/>
      <c r="K12" s="174"/>
      <c r="L12" s="175"/>
    </row>
    <row r="13" spans="1:12" s="67" customFormat="1" ht="15" customHeight="1">
      <c r="A13" s="65"/>
      <c r="B13" s="12" t="s">
        <v>94</v>
      </c>
      <c r="C13" s="1"/>
      <c r="D13" s="1"/>
      <c r="E13" s="173"/>
      <c r="F13" s="174"/>
      <c r="G13" s="172"/>
      <c r="H13" s="173"/>
      <c r="J13" s="172"/>
      <c r="K13" s="174"/>
      <c r="L13" s="175"/>
    </row>
    <row r="14" spans="1:12" s="67" customFormat="1" ht="15" customHeight="1">
      <c r="A14" s="65"/>
      <c r="B14" s="115" t="s">
        <v>87</v>
      </c>
      <c r="C14" s="63" t="s">
        <v>22</v>
      </c>
      <c r="D14" s="64" t="s">
        <v>62</v>
      </c>
      <c r="E14" s="173"/>
      <c r="F14" s="174"/>
      <c r="G14" s="172"/>
      <c r="H14" s="173"/>
      <c r="J14" s="172"/>
      <c r="K14" s="174"/>
      <c r="L14" s="175"/>
    </row>
    <row r="15" spans="1:12" s="67" customFormat="1" ht="15" customHeight="1">
      <c r="A15" s="65"/>
      <c r="B15" s="87" t="s">
        <v>92</v>
      </c>
      <c r="C15" s="66">
        <v>0</v>
      </c>
      <c r="D15" s="68">
        <f>funds_cash[[#This Row],[amount]] / funds_cash[[#Totals],[amount]]</f>
        <v>0</v>
      </c>
      <c r="E15" s="173"/>
      <c r="F15" s="174"/>
      <c r="G15" s="172"/>
      <c r="H15" s="173"/>
      <c r="J15" s="172"/>
      <c r="K15" s="174"/>
      <c r="L15" s="175"/>
    </row>
    <row r="16" spans="1:12" s="67" customFormat="1" ht="15" customHeight="1">
      <c r="A16" s="65"/>
      <c r="B16" s="84" t="s">
        <v>102</v>
      </c>
      <c r="C16" s="66">
        <v>1000</v>
      </c>
      <c r="D16" s="68">
        <f>funds_cash[[#This Row],[amount]] / funds_cash[[#Totals],[amount]]</f>
        <v>0.25</v>
      </c>
      <c r="E16" s="173"/>
      <c r="F16" s="174"/>
      <c r="G16" s="172"/>
      <c r="H16" s="173"/>
      <c r="J16" s="172"/>
      <c r="K16" s="174"/>
      <c r="L16" s="175"/>
    </row>
    <row r="17" spans="1:12" s="67" customFormat="1" ht="15" customHeight="1">
      <c r="A17" s="65"/>
      <c r="B17" s="87" t="s">
        <v>103</v>
      </c>
      <c r="C17" s="66">
        <v>1000</v>
      </c>
      <c r="D17" s="68">
        <f>funds_cash[[#This Row],[amount]] / funds_cash[[#Totals],[amount]]</f>
        <v>0.25</v>
      </c>
      <c r="E17" s="173"/>
      <c r="F17" s="174"/>
      <c r="G17" s="172"/>
      <c r="H17" s="173"/>
      <c r="J17" s="172"/>
      <c r="K17" s="174"/>
      <c r="L17" s="175"/>
    </row>
    <row r="18" spans="1:12" s="67" customFormat="1" ht="15" customHeight="1">
      <c r="A18" s="65"/>
      <c r="B18" s="87" t="s">
        <v>104</v>
      </c>
      <c r="C18" s="66">
        <v>2000</v>
      </c>
      <c r="D18" s="68">
        <f>funds_cash[[#This Row],[amount]] / funds_cash[[#Totals],[amount]]</f>
        <v>0.5</v>
      </c>
      <c r="E18" s="173"/>
      <c r="F18" s="174"/>
      <c r="G18" s="172"/>
      <c r="H18" s="173"/>
      <c r="J18" s="172"/>
      <c r="K18" s="174"/>
      <c r="L18" s="175"/>
    </row>
    <row r="19" spans="1:12" s="67" customFormat="1" ht="15" customHeight="1">
      <c r="A19" s="65"/>
      <c r="B19" s="116" t="s">
        <v>1</v>
      </c>
      <c r="C19" s="70">
        <f>SUM(funds_cash[amount])</f>
        <v>4000</v>
      </c>
      <c r="D19" s="71">
        <f>SUBTOTAL(109,funds_cash[rate])</f>
        <v>1</v>
      </c>
      <c r="E19" s="173"/>
      <c r="F19" s="174"/>
      <c r="G19" s="172"/>
      <c r="H19" s="173"/>
      <c r="J19" s="172"/>
      <c r="K19" s="174"/>
      <c r="L19" s="175"/>
    </row>
    <row r="20" spans="1:12" s="67" customFormat="1" ht="15" customHeight="1">
      <c r="A20" s="65"/>
      <c r="B20" s="172"/>
      <c r="C20" s="174"/>
      <c r="D20" s="175"/>
      <c r="E20" s="173"/>
      <c r="F20" s="174"/>
      <c r="G20" s="172"/>
      <c r="H20" s="173"/>
      <c r="J20" s="172"/>
      <c r="K20" s="174"/>
      <c r="L20" s="175"/>
    </row>
    <row r="21" spans="1:12" s="67" customFormat="1" ht="15" customHeight="1">
      <c r="A21" s="65"/>
      <c r="B21" s="172"/>
      <c r="C21" s="173"/>
      <c r="D21" s="173"/>
      <c r="E21" s="173"/>
      <c r="F21" s="174"/>
      <c r="G21" s="172"/>
      <c r="H21" s="173"/>
      <c r="J21" s="172"/>
      <c r="K21" s="174"/>
      <c r="L21" s="175"/>
    </row>
    <row r="22" spans="1:12" s="67" customFormat="1" ht="15" customHeight="1">
      <c r="A22" s="65"/>
      <c r="B22" s="172"/>
      <c r="C22" s="173"/>
      <c r="D22" s="173"/>
      <c r="E22" s="173"/>
      <c r="F22" s="174"/>
      <c r="G22" s="172"/>
      <c r="H22" s="173"/>
      <c r="J22" s="172"/>
      <c r="K22" s="174"/>
      <c r="L22" s="175"/>
    </row>
    <row r="23" spans="1:12" s="67" customFormat="1" ht="15" customHeight="1">
      <c r="A23" s="65"/>
      <c r="B23" s="172"/>
      <c r="C23" s="173"/>
      <c r="D23" s="173"/>
      <c r="E23" s="173"/>
      <c r="F23" s="174"/>
      <c r="G23" s="172"/>
      <c r="H23" s="173"/>
      <c r="J23" s="172"/>
      <c r="K23" s="174"/>
      <c r="L23" s="175"/>
    </row>
    <row r="24" spans="1:12" s="67" customFormat="1" ht="15" customHeight="1">
      <c r="A24" s="65"/>
      <c r="B24" s="172"/>
      <c r="C24" s="173"/>
      <c r="D24" s="173"/>
      <c r="E24" s="173"/>
      <c r="F24" s="174"/>
      <c r="G24" s="172"/>
      <c r="H24" s="173"/>
      <c r="J24" s="172"/>
      <c r="K24" s="174"/>
      <c r="L24" s="175"/>
    </row>
    <row r="25" spans="1:12" s="67" customFormat="1" ht="15" customHeight="1">
      <c r="A25" s="65"/>
      <c r="B25" s="172"/>
      <c r="C25" s="173"/>
      <c r="D25" s="173"/>
      <c r="E25" s="173"/>
      <c r="F25" s="174"/>
      <c r="G25" s="172"/>
      <c r="H25" s="173"/>
      <c r="J25" s="172"/>
      <c r="K25" s="174"/>
      <c r="L25" s="175"/>
    </row>
    <row r="26" spans="1:12" s="67" customFormat="1" ht="15" customHeight="1">
      <c r="A26" s="65"/>
      <c r="B26" s="172"/>
      <c r="C26" s="173"/>
      <c r="D26" s="173"/>
      <c r="E26" s="173"/>
      <c r="F26" s="174"/>
      <c r="G26" s="172"/>
      <c r="H26" s="173"/>
      <c r="J26" s="172"/>
      <c r="K26" s="174"/>
      <c r="L26" s="175"/>
    </row>
    <row r="27" spans="1:12" s="67" customFormat="1" ht="15" customHeight="1">
      <c r="A27" s="65"/>
      <c r="B27" s="172"/>
      <c r="C27" s="173"/>
      <c r="D27" s="173"/>
      <c r="E27" s="173"/>
      <c r="F27" s="174"/>
      <c r="G27" s="172"/>
      <c r="H27" s="173"/>
      <c r="J27" s="172"/>
      <c r="K27" s="174"/>
      <c r="L27" s="175"/>
    </row>
    <row r="28" spans="1:12" s="67" customFormat="1" ht="15" customHeight="1">
      <c r="A28" s="65"/>
      <c r="B28" s="172"/>
      <c r="C28" s="173"/>
      <c r="D28" s="173"/>
      <c r="E28" s="173"/>
      <c r="F28" s="174"/>
      <c r="G28" s="172"/>
      <c r="H28" s="173"/>
      <c r="J28" s="172"/>
      <c r="K28" s="174"/>
      <c r="L28" s="175"/>
    </row>
    <row r="29" spans="1:12" s="67" customFormat="1" ht="15" customHeight="1">
      <c r="A29" s="65"/>
      <c r="B29" s="172"/>
      <c r="C29" s="173"/>
      <c r="D29" s="173"/>
      <c r="E29" s="173"/>
      <c r="F29" s="174"/>
      <c r="G29" s="172"/>
      <c r="H29" s="173"/>
      <c r="J29" s="172"/>
      <c r="K29" s="174"/>
      <c r="L29" s="175"/>
    </row>
    <row r="30" spans="1:12" s="67" customFormat="1" ht="15" customHeight="1">
      <c r="A30" s="65"/>
      <c r="B30" s="172"/>
      <c r="C30" s="173"/>
      <c r="D30" s="173"/>
      <c r="E30" s="173"/>
      <c r="F30" s="174"/>
      <c r="G30" s="172"/>
      <c r="H30" s="173"/>
      <c r="J30" s="172"/>
      <c r="K30" s="174"/>
      <c r="L30" s="175"/>
    </row>
    <row r="31" spans="1:12" s="67" customFormat="1" ht="15" customHeight="1">
      <c r="A31" s="65"/>
      <c r="B31" s="172"/>
      <c r="C31" s="173"/>
      <c r="D31" s="173"/>
      <c r="E31" s="173"/>
      <c r="F31" s="174"/>
      <c r="G31" s="172"/>
      <c r="H31" s="173"/>
      <c r="J31" s="172"/>
      <c r="K31" s="174"/>
      <c r="L31" s="175"/>
    </row>
    <row r="32" spans="1:12" s="67" customFormat="1" ht="15" customHeight="1">
      <c r="A32" s="65"/>
      <c r="B32" s="172"/>
      <c r="C32" s="173"/>
      <c r="D32" s="173"/>
      <c r="E32" s="173"/>
      <c r="F32" s="174"/>
      <c r="G32" s="172"/>
      <c r="H32" s="173"/>
      <c r="J32" s="172"/>
      <c r="K32" s="174"/>
      <c r="L32" s="175"/>
    </row>
    <row r="33" spans="1:12" s="67" customFormat="1" ht="15" customHeight="1">
      <c r="A33" s="65"/>
      <c r="B33" s="172"/>
      <c r="C33" s="173"/>
      <c r="D33" s="173"/>
      <c r="E33" s="173"/>
      <c r="F33" s="174"/>
      <c r="G33" s="172"/>
      <c r="H33" s="173"/>
      <c r="J33" s="172"/>
      <c r="K33" s="174"/>
      <c r="L33" s="175"/>
    </row>
    <row r="34" spans="1:12" s="67" customFormat="1" ht="15" customHeight="1">
      <c r="A34" s="65"/>
      <c r="B34" s="172"/>
      <c r="C34" s="173"/>
      <c r="D34" s="173"/>
      <c r="E34" s="173"/>
      <c r="F34" s="174"/>
      <c r="G34" s="172"/>
      <c r="H34" s="173"/>
      <c r="J34" s="172"/>
      <c r="K34" s="174"/>
      <c r="L34" s="175"/>
    </row>
    <row r="35" spans="1:12" s="67" customFormat="1" ht="15" customHeight="1">
      <c r="A35" s="65"/>
      <c r="B35" s="172"/>
      <c r="C35" s="173"/>
      <c r="D35" s="173"/>
      <c r="E35" s="173"/>
      <c r="F35" s="174"/>
      <c r="G35" s="172"/>
      <c r="H35" s="173"/>
      <c r="J35" s="172"/>
      <c r="K35" s="174"/>
      <c r="L35" s="175"/>
    </row>
    <row r="36" spans="1:12" s="67" customFormat="1" ht="15" customHeight="1">
      <c r="A36" s="65"/>
      <c r="B36" s="172"/>
      <c r="C36" s="173"/>
      <c r="D36" s="173"/>
      <c r="E36" s="173"/>
      <c r="F36" s="174"/>
      <c r="G36" s="172"/>
      <c r="H36" s="173"/>
      <c r="J36" s="172"/>
      <c r="K36" s="174"/>
      <c r="L36" s="175"/>
    </row>
    <row r="37" spans="1:12" s="67" customFormat="1" ht="15" customHeight="1">
      <c r="A37" s="65"/>
      <c r="B37" s="172"/>
      <c r="C37" s="173"/>
      <c r="D37" s="173"/>
      <c r="E37" s="173"/>
      <c r="F37" s="174"/>
      <c r="G37" s="172"/>
      <c r="H37" s="173"/>
      <c r="J37" s="172"/>
      <c r="K37" s="174"/>
      <c r="L37" s="175"/>
    </row>
    <row r="38" spans="1:12" s="67" customFormat="1" ht="15" customHeight="1">
      <c r="A38" s="65"/>
      <c r="B38" s="172"/>
      <c r="C38" s="173"/>
      <c r="D38" s="173"/>
      <c r="E38" s="173"/>
      <c r="F38" s="174"/>
      <c r="G38" s="172"/>
      <c r="H38" s="173"/>
      <c r="J38" s="172"/>
      <c r="K38" s="174"/>
      <c r="L38" s="175"/>
    </row>
    <row r="39" spans="1:12" s="67" customFormat="1" ht="15" customHeight="1">
      <c r="A39" s="65"/>
      <c r="B39" s="172"/>
      <c r="C39" s="173"/>
      <c r="D39" s="173"/>
      <c r="E39" s="173"/>
      <c r="F39" s="174"/>
      <c r="G39" s="172"/>
      <c r="H39" s="173"/>
      <c r="J39" s="172"/>
      <c r="K39" s="174"/>
      <c r="L39" s="175"/>
    </row>
    <row r="40" spans="1:12" s="67" customFormat="1" ht="15" customHeight="1">
      <c r="A40" s="65"/>
      <c r="B40" s="172"/>
      <c r="C40" s="173"/>
      <c r="D40" s="173"/>
      <c r="E40" s="173"/>
      <c r="F40" s="174"/>
      <c r="G40" s="172"/>
      <c r="H40" s="173"/>
      <c r="J40" s="172"/>
      <c r="K40" s="174"/>
      <c r="L40" s="175"/>
    </row>
    <row r="41" spans="1:12" ht="19.5">
      <c r="B41" s="12" t="s">
        <v>96</v>
      </c>
      <c r="C41" s="2"/>
      <c r="D41" s="2"/>
      <c r="E41" s="2"/>
      <c r="F41" s="2"/>
      <c r="G41" s="2"/>
      <c r="H41" s="2"/>
      <c r="I41" s="2"/>
      <c r="J41" s="2"/>
      <c r="K41" s="2"/>
    </row>
    <row r="42" spans="1:12" ht="17.25">
      <c r="B42" s="117" t="s">
        <v>87</v>
      </c>
      <c r="C42" s="117" t="s">
        <v>98</v>
      </c>
      <c r="D42" s="117" t="s">
        <v>97</v>
      </c>
      <c r="E42" s="117" t="s">
        <v>99</v>
      </c>
      <c r="F42" s="117" t="s">
        <v>62</v>
      </c>
      <c r="G42" s="117" t="s">
        <v>100</v>
      </c>
      <c r="H42" s="117" t="s">
        <v>93</v>
      </c>
      <c r="I42" s="117" t="s">
        <v>61</v>
      </c>
    </row>
    <row r="43" spans="1:12" ht="15.75">
      <c r="B43" s="84" t="s">
        <v>102</v>
      </c>
      <c r="C43" s="18">
        <v>1000</v>
      </c>
      <c r="D43" s="18">
        <v>1000</v>
      </c>
      <c r="E43" s="11" t="s">
        <v>101</v>
      </c>
      <c r="F43" s="17">
        <v>4.8000000000000001E-2</v>
      </c>
      <c r="G43" s="19">
        <f>DATE(2025, 7, 23)</f>
        <v>45861</v>
      </c>
      <c r="H43" s="162">
        <f ca="1">IF(savings[[#This Row],[term]]="unlimited", 1, (TODAY() - savings[[#This Row],[start]]) / (VLOOKUP(savings[[#This Row],[term]], term[], 2,FALSE)))</f>
        <v>1</v>
      </c>
      <c r="I43" s="18">
        <f ca="1">IF(savings[[#This Row],[term]]="unlimited",savings[[#This Row],[capital]]*savings[[#This Row],[rate]]/365, (savings[[#This Row],[rate]]/365) * (TODAY() - savings[[#This Row],[start]]) *savings[[#This Row],[capital]] ) + savings[[#This Row],[capital]]</f>
        <v>1000.1315068493151</v>
      </c>
    </row>
    <row r="44" spans="1:12" ht="17.25">
      <c r="B44" s="21" t="s">
        <v>1</v>
      </c>
      <c r="C44" s="22">
        <f>SUBTOTAL(109,savings[principal])</f>
        <v>1000</v>
      </c>
      <c r="D44" s="22">
        <f>SUBTOTAL(109,savings[capital])</f>
        <v>1000</v>
      </c>
      <c r="E44" s="21"/>
      <c r="F44" s="26"/>
      <c r="G44" s="21"/>
      <c r="H44" s="21"/>
      <c r="I44" s="22">
        <f ca="1">SUBTOTAL(109,savings[balance])</f>
        <v>1000.1315068493151</v>
      </c>
    </row>
    <row r="45" spans="1:12" ht="17.25">
      <c r="B45" s="21"/>
      <c r="C45" s="22"/>
      <c r="D45" s="22"/>
      <c r="E45" s="21"/>
      <c r="F45" s="26"/>
      <c r="G45" s="21"/>
      <c r="H45" s="21"/>
      <c r="I45" s="21"/>
    </row>
    <row r="46" spans="1:12" ht="16.5">
      <c r="B46" s="12" t="s">
        <v>90</v>
      </c>
      <c r="C46" s="3"/>
      <c r="D46" s="3"/>
      <c r="E46" s="3"/>
      <c r="F46" s="5"/>
      <c r="G46" s="3"/>
      <c r="H46" s="3"/>
      <c r="I46" s="24"/>
    </row>
    <row r="47" spans="1:12" ht="17.25">
      <c r="B47" s="60" t="s">
        <v>87</v>
      </c>
      <c r="C47" s="60" t="s">
        <v>105</v>
      </c>
      <c r="D47" s="60" t="s">
        <v>24</v>
      </c>
      <c r="E47" s="60" t="s">
        <v>98</v>
      </c>
      <c r="F47" s="60" t="s">
        <v>100</v>
      </c>
      <c r="G47" s="59" t="s">
        <v>62</v>
      </c>
      <c r="H47" s="60" t="s">
        <v>106</v>
      </c>
      <c r="I47" s="60" t="s">
        <v>61</v>
      </c>
    </row>
    <row r="48" spans="1:12" ht="18">
      <c r="B48" s="84" t="s">
        <v>104</v>
      </c>
      <c r="C48" s="4" t="s">
        <v>4</v>
      </c>
      <c r="D48" s="4" t="s">
        <v>117</v>
      </c>
      <c r="E48" s="13">
        <v>300</v>
      </c>
      <c r="F48" s="14">
        <f>DATE(2022, 12, 29)</f>
        <v>44924</v>
      </c>
      <c r="G48" s="16">
        <f ca="1" xml:space="preserve"> RATE((TODAY() - fund_certs[[#This Row],[start]]) / 365.25, 0, 0 - fund_certs[[#This Row],[principal]], fund_certs[[#This Row],[balance]], 0)</f>
        <v>0.18390849248040378</v>
      </c>
      <c r="H48" s="13">
        <f>fund_certs[[#This Row],[balance]]-fund_certs[[#This Row],[principal]]</f>
        <v>256.29100000000005</v>
      </c>
      <c r="I48" s="13">
        <v>556.29100000000005</v>
      </c>
    </row>
    <row r="49" spans="2:11" ht="19.5">
      <c r="B49" s="10" t="s">
        <v>1</v>
      </c>
      <c r="C49" s="10"/>
      <c r="D49" s="10"/>
      <c r="E49" s="20">
        <f>SUBTOTAL(109,fund_certs[principal])</f>
        <v>300</v>
      </c>
      <c r="F49" s="10"/>
      <c r="G49" s="23"/>
      <c r="H49" s="20"/>
      <c r="I49" s="20">
        <f>SUBTOTAL(109,fund_certs[balance])</f>
        <v>556.29100000000005</v>
      </c>
    </row>
    <row r="55" spans="2:11">
      <c r="J55" s="32"/>
    </row>
    <row r="56" spans="2:11">
      <c r="J56" s="3"/>
    </row>
    <row r="57" spans="2:11" ht="17.25">
      <c r="J57" s="22"/>
      <c r="K57" s="3"/>
    </row>
    <row r="58" spans="2:11">
      <c r="J58" s="25"/>
    </row>
  </sheetData>
  <mergeCells count="1">
    <mergeCell ref="B2:D3"/>
  </mergeCells>
  <phoneticPr fontId="8" type="noConversion"/>
  <conditionalFormatting sqref="G48:I48">
    <cfRule type="expression" dxfId="3" priority="1">
      <formula>$I48&gt;$E48</formula>
    </cfRule>
    <cfRule type="expression" dxfId="2" priority="2">
      <formula>$I48&lt;$E48</formula>
    </cfRule>
  </conditionalFormatting>
  <dataValidations count="4">
    <dataValidation type="list" allowBlank="1" showInputMessage="1" showErrorMessage="1" sqref="E45" xr:uid="{28A0D4B3-7DE5-4D8E-861A-E065A8D846AA}">
      <formula1>ListofCalculateTIme</formula1>
    </dataValidation>
    <dataValidation type="list" allowBlank="1" showInputMessage="1" showErrorMessage="1" sqref="L55" xr:uid="{587872E2-0A43-464F-94AF-BBC14FA24856}">
      <formula1>#REF!</formula1>
    </dataValidation>
    <dataValidation type="list" allowBlank="1" showInputMessage="1" showErrorMessage="1" sqref="D48" xr:uid="{5DC74BDC-BE27-44DF-81A8-E144FF84FB2E}">
      <formula1>INDIRECT("fund_cert_type")</formula1>
    </dataValidation>
    <dataValidation type="list" allowBlank="1" showInputMessage="1" showErrorMessage="1" sqref="E43" xr:uid="{FFDA3673-D052-4324-9007-0D9D5BE87EE5}">
      <formula1>INDIRECT("term")</formula1>
    </dataValidation>
  </dataValidations>
  <pageMargins left="0.7" right="0.7" top="0.75" bottom="0.75" header="0.3" footer="0.3"/>
  <pageSetup orientation="portrait" horizontalDpi="1200" verticalDpi="1200" r:id="rId1"/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EE4AF-1BD0-41ED-9243-948ADAA421FE}">
  <sheetPr codeName="Sheet3"/>
  <dimension ref="B1:S58"/>
  <sheetViews>
    <sheetView zoomScaleNormal="100" workbookViewId="0">
      <selection activeCell="B2" sqref="B2:D3"/>
    </sheetView>
  </sheetViews>
  <sheetFormatPr defaultRowHeight="14.25"/>
  <cols>
    <col min="1" max="1" width="3.69921875" style="3" customWidth="1"/>
    <col min="2" max="2" width="13" style="3" bestFit="1" customWidth="1"/>
    <col min="3" max="3" width="17.59765625" style="3" bestFit="1" customWidth="1"/>
    <col min="4" max="4" width="19.796875" style="3" bestFit="1" customWidth="1"/>
    <col min="5" max="5" width="3.69921875" style="3" customWidth="1"/>
    <col min="6" max="6" width="8.796875" style="3"/>
    <col min="7" max="7" width="11.5" style="3" bestFit="1" customWidth="1"/>
    <col min="8" max="8" width="3.69921875" style="3" customWidth="1"/>
    <col min="9" max="9" width="8.796875" style="3"/>
    <col min="10" max="10" width="13.796875" style="3" bestFit="1" customWidth="1"/>
    <col min="11" max="11" width="10.09765625" style="3" bestFit="1" customWidth="1"/>
    <col min="12" max="12" width="3.69921875" style="3" customWidth="1"/>
    <col min="13" max="13" width="17.59765625" style="3" bestFit="1" customWidth="1"/>
    <col min="14" max="14" width="11.8984375" style="3" bestFit="1" customWidth="1"/>
    <col min="15" max="15" width="3.69921875" style="3" customWidth="1"/>
    <col min="16" max="16" width="19.796875" style="3" bestFit="1" customWidth="1"/>
    <col min="17" max="17" width="11" style="3" bestFit="1" customWidth="1"/>
    <col min="18" max="18" width="3.69921875" style="3" customWidth="1"/>
    <col min="19" max="19" width="20.8984375" style="3" customWidth="1"/>
    <col min="20" max="20" width="20.8984375" style="3" bestFit="1" customWidth="1"/>
    <col min="21" max="16384" width="8.796875" style="3"/>
  </cols>
  <sheetData>
    <row r="1" spans="2:19" customFormat="1" ht="18"/>
    <row r="2" spans="2:19" customFormat="1" ht="14.25" customHeight="1">
      <c r="B2" s="197" t="s">
        <v>132</v>
      </c>
      <c r="C2" s="197"/>
      <c r="D2" s="197"/>
      <c r="E2" s="9"/>
      <c r="F2" s="9"/>
      <c r="G2" s="9"/>
      <c r="H2" s="9"/>
    </row>
    <row r="3" spans="2:19" customFormat="1" ht="14.25" customHeight="1">
      <c r="B3" s="197"/>
      <c r="C3" s="197"/>
      <c r="D3" s="197"/>
      <c r="E3" s="9"/>
      <c r="F3" s="9"/>
      <c r="G3" s="9"/>
      <c r="H3" s="9"/>
    </row>
    <row r="4" spans="2:19" customFormat="1" ht="18"/>
    <row r="5" spans="2:19" ht="16.5">
      <c r="B5" s="12" t="s">
        <v>131</v>
      </c>
      <c r="F5" s="12" t="s">
        <v>121</v>
      </c>
      <c r="I5" s="12" t="s">
        <v>123</v>
      </c>
    </row>
    <row r="6" spans="2:19" ht="19.5">
      <c r="B6" s="98" t="s">
        <v>24</v>
      </c>
      <c r="C6" s="101" t="s">
        <v>26</v>
      </c>
      <c r="D6" s="102" t="s">
        <v>25</v>
      </c>
      <c r="F6" s="92" t="s">
        <v>112</v>
      </c>
      <c r="G6" s="92" t="s">
        <v>61</v>
      </c>
      <c r="I6" s="92" t="s">
        <v>120</v>
      </c>
      <c r="J6" s="92" t="s">
        <v>98</v>
      </c>
      <c r="K6" s="92" t="s">
        <v>106</v>
      </c>
    </row>
    <row r="7" spans="2:19" ht="18">
      <c r="B7" s="99" t="s">
        <v>27</v>
      </c>
      <c r="C7" s="4" t="s">
        <v>28</v>
      </c>
      <c r="D7" s="134" t="s">
        <v>32</v>
      </c>
      <c r="F7" s="118">
        <f>DATE(2026, 7, 1)</f>
        <v>46204</v>
      </c>
      <c r="G7" s="93">
        <v>1000</v>
      </c>
      <c r="I7" s="118">
        <f>DATE(2026,7,1)</f>
        <v>46204</v>
      </c>
      <c r="J7" s="93">
        <v>2000</v>
      </c>
      <c r="K7" s="93">
        <v>20</v>
      </c>
      <c r="M7" s="142" t="s">
        <v>115</v>
      </c>
      <c r="N7" t="s" vm="4">
        <v>143</v>
      </c>
      <c r="O7"/>
      <c r="P7" s="142" t="s">
        <v>115</v>
      </c>
      <c r="Q7" t="s" vm="2">
        <v>116</v>
      </c>
      <c r="S7" s="103" t="s">
        <v>17</v>
      </c>
    </row>
    <row r="8" spans="2:19" ht="18">
      <c r="B8" s="99" t="s">
        <v>27</v>
      </c>
      <c r="C8" s="4" t="s">
        <v>28</v>
      </c>
      <c r="D8" s="134" t="s">
        <v>33</v>
      </c>
      <c r="F8" s="118">
        <f>DATE(YEAR(F7), MONTH(F7) + 1, 1)</f>
        <v>46235</v>
      </c>
      <c r="G8" s="93">
        <f ca="1">SUM(dashboard!F18:F22)</f>
        <v>1556.4225068493151</v>
      </c>
      <c r="I8" s="118">
        <f>DATE(YEAR(I7), MONTH(I7) + 1, 1)</f>
        <v>46235</v>
      </c>
      <c r="J8" s="93">
        <f>SUM(fund_certs[principal])</f>
        <v>300</v>
      </c>
      <c r="K8" s="93">
        <f>SUM(fund_certs[interest])</f>
        <v>256.29100000000005</v>
      </c>
      <c r="M8" s="142" t="s">
        <v>24</v>
      </c>
      <c r="N8" t="s" vm="5">
        <v>143</v>
      </c>
      <c r="O8"/>
      <c r="P8" s="142" t="s">
        <v>24</v>
      </c>
      <c r="Q8" t="s" vm="1">
        <v>27</v>
      </c>
      <c r="S8" s="104" t="s">
        <v>5</v>
      </c>
    </row>
    <row r="9" spans="2:19" ht="19.5">
      <c r="B9" s="99" t="s">
        <v>27</v>
      </c>
      <c r="C9" s="4" t="s">
        <v>28</v>
      </c>
      <c r="D9" s="134" t="s">
        <v>34</v>
      </c>
      <c r="O9"/>
      <c r="S9" s="105" t="s">
        <v>6</v>
      </c>
    </row>
    <row r="10" spans="2:19" ht="18">
      <c r="B10" s="99" t="s">
        <v>27</v>
      </c>
      <c r="C10" s="4" t="s">
        <v>29</v>
      </c>
      <c r="D10" s="134" t="s">
        <v>35</v>
      </c>
      <c r="M10" s="142" t="s">
        <v>26</v>
      </c>
      <c r="N10"/>
      <c r="O10"/>
      <c r="P10" s="142" t="s">
        <v>25</v>
      </c>
      <c r="Q10" t="s">
        <v>22</v>
      </c>
      <c r="S10" s="106" t="s">
        <v>7</v>
      </c>
    </row>
    <row r="11" spans="2:19" ht="19.5">
      <c r="B11" s="99" t="s">
        <v>27</v>
      </c>
      <c r="C11" s="4" t="s">
        <v>29</v>
      </c>
      <c r="D11" s="134" t="s">
        <v>36</v>
      </c>
      <c r="M11" s="143" t="s">
        <v>31</v>
      </c>
      <c r="N11"/>
      <c r="O11"/>
      <c r="P11" s="143" t="s">
        <v>135</v>
      </c>
      <c r="Q11" s="165">
        <v>5880</v>
      </c>
      <c r="S11" s="107" t="s">
        <v>9</v>
      </c>
    </row>
    <row r="12" spans="2:19" ht="18">
      <c r="B12" s="99" t="s">
        <v>27</v>
      </c>
      <c r="C12" s="4" t="s">
        <v>29</v>
      </c>
      <c r="D12" s="134" t="s">
        <v>37</v>
      </c>
      <c r="M12" s="143" t="s">
        <v>20</v>
      </c>
      <c r="N12"/>
      <c r="O12"/>
      <c r="P12" s="143" t="s">
        <v>134</v>
      </c>
      <c r="Q12" s="165">
        <v>273</v>
      </c>
      <c r="S12" s="108" t="s">
        <v>11</v>
      </c>
    </row>
    <row r="13" spans="2:19" ht="18">
      <c r="B13" s="99" t="s">
        <v>27</v>
      </c>
      <c r="C13" s="4" t="s">
        <v>30</v>
      </c>
      <c r="D13" s="134" t="s">
        <v>135</v>
      </c>
      <c r="M13"/>
      <c r="N13"/>
      <c r="O13"/>
      <c r="P13" s="143" t="s">
        <v>32</v>
      </c>
      <c r="Q13" s="165">
        <v>50</v>
      </c>
      <c r="S13" s="109" t="s">
        <v>13</v>
      </c>
    </row>
    <row r="14" spans="2:19" ht="18">
      <c r="B14" s="99" t="s">
        <v>27</v>
      </c>
      <c r="C14" s="4" t="s">
        <v>30</v>
      </c>
      <c r="D14" s="134" t="s">
        <v>134</v>
      </c>
      <c r="M14"/>
      <c r="N14"/>
      <c r="O14"/>
      <c r="P14" s="143" t="s">
        <v>36</v>
      </c>
      <c r="Q14" s="165">
        <v>2.3E-2</v>
      </c>
    </row>
    <row r="15" spans="2:19" ht="18">
      <c r="B15" s="99" t="s">
        <v>27</v>
      </c>
      <c r="C15" s="4" t="s">
        <v>30</v>
      </c>
      <c r="D15" s="134" t="s">
        <v>38</v>
      </c>
      <c r="O15"/>
      <c r="P15" s="143" t="s">
        <v>20</v>
      </c>
      <c r="Q15" s="165">
        <v>6203.0230000000001</v>
      </c>
    </row>
    <row r="16" spans="2:19" ht="18">
      <c r="B16" s="99" t="s">
        <v>27</v>
      </c>
      <c r="C16" s="4" t="s">
        <v>30</v>
      </c>
      <c r="D16" s="134" t="s">
        <v>39</v>
      </c>
      <c r="M16" s="142" t="s">
        <v>115</v>
      </c>
      <c r="N16" t="s" vm="4">
        <v>143</v>
      </c>
      <c r="O16"/>
      <c r="P16" s="142" t="s">
        <v>115</v>
      </c>
      <c r="Q16" t="s" vm="2">
        <v>116</v>
      </c>
      <c r="S16" s="45"/>
    </row>
    <row r="17" spans="2:19" ht="18">
      <c r="B17" s="99" t="s">
        <v>27</v>
      </c>
      <c r="C17" s="4" t="s">
        <v>30</v>
      </c>
      <c r="D17" s="134" t="s">
        <v>40</v>
      </c>
      <c r="M17" s="142" t="s">
        <v>24</v>
      </c>
      <c r="N17" t="s" vm="3">
        <v>111</v>
      </c>
      <c r="O17"/>
      <c r="P17" s="142" t="s">
        <v>24</v>
      </c>
      <c r="Q17" t="s" vm="3">
        <v>111</v>
      </c>
      <c r="S17" s="46"/>
    </row>
    <row r="18" spans="2:19" ht="18">
      <c r="B18" s="99" t="s">
        <v>111</v>
      </c>
      <c r="C18" s="4" t="s">
        <v>31</v>
      </c>
      <c r="D18" s="134" t="s">
        <v>41</v>
      </c>
      <c r="O18"/>
      <c r="S18" s="47"/>
    </row>
    <row r="19" spans="2:19" ht="18">
      <c r="B19" s="99" t="s">
        <v>111</v>
      </c>
      <c r="C19" s="4" t="s">
        <v>31</v>
      </c>
      <c r="D19" s="134" t="s">
        <v>42</v>
      </c>
      <c r="M19" s="142" t="s">
        <v>26</v>
      </c>
      <c r="N19"/>
      <c r="O19"/>
      <c r="P19" s="142" t="s">
        <v>25</v>
      </c>
      <c r="Q19" t="s">
        <v>22</v>
      </c>
      <c r="S19" s="48"/>
    </row>
    <row r="20" spans="2:19" ht="18">
      <c r="B20" s="99" t="s">
        <v>111</v>
      </c>
      <c r="C20" s="4" t="s">
        <v>31</v>
      </c>
      <c r="D20" s="134" t="s">
        <v>43</v>
      </c>
      <c r="M20" s="143" t="s">
        <v>31</v>
      </c>
      <c r="N20"/>
      <c r="O20"/>
      <c r="P20" s="143" t="s">
        <v>41</v>
      </c>
      <c r="Q20" s="165">
        <v>2843</v>
      </c>
      <c r="S20" s="49"/>
    </row>
    <row r="21" spans="2:19" ht="18">
      <c r="B21" s="99" t="s">
        <v>111</v>
      </c>
      <c r="C21" s="4" t="s">
        <v>31</v>
      </c>
      <c r="D21" s="134" t="s">
        <v>44</v>
      </c>
      <c r="M21" s="143" t="s">
        <v>20</v>
      </c>
      <c r="N21"/>
      <c r="O21"/>
      <c r="P21" s="143" t="s">
        <v>50</v>
      </c>
      <c r="Q21" s="165">
        <v>1561</v>
      </c>
    </row>
    <row r="22" spans="2:19" ht="18">
      <c r="B22" s="99" t="s">
        <v>111</v>
      </c>
      <c r="C22" s="4" t="s">
        <v>31</v>
      </c>
      <c r="D22" s="134" t="s">
        <v>45</v>
      </c>
      <c r="M22"/>
      <c r="N22"/>
      <c r="O22"/>
      <c r="P22" s="143" t="s">
        <v>43</v>
      </c>
      <c r="Q22" s="165">
        <v>609.41000000000008</v>
      </c>
      <c r="S22" s="129"/>
    </row>
    <row r="23" spans="2:19" ht="18">
      <c r="B23" s="99" t="s">
        <v>111</v>
      </c>
      <c r="C23" s="4" t="s">
        <v>31</v>
      </c>
      <c r="D23" s="134" t="s">
        <v>130</v>
      </c>
      <c r="M23"/>
      <c r="N23"/>
      <c r="O23"/>
      <c r="P23" s="143" t="s">
        <v>44</v>
      </c>
      <c r="Q23" s="165">
        <v>558.34299999999996</v>
      </c>
      <c r="S23" s="131"/>
    </row>
    <row r="24" spans="2:19" ht="18">
      <c r="B24" s="99" t="s">
        <v>111</v>
      </c>
      <c r="C24" s="4" t="s">
        <v>46</v>
      </c>
      <c r="D24" s="134" t="s">
        <v>47</v>
      </c>
      <c r="M24"/>
      <c r="N24"/>
      <c r="O24"/>
      <c r="P24" s="143" t="s">
        <v>47</v>
      </c>
      <c r="Q24" s="165">
        <v>365</v>
      </c>
      <c r="S24" s="127"/>
    </row>
    <row r="25" spans="2:19" ht="18">
      <c r="B25" s="99" t="s">
        <v>111</v>
      </c>
      <c r="C25" s="4" t="s">
        <v>46</v>
      </c>
      <c r="D25" s="134" t="s">
        <v>48</v>
      </c>
      <c r="P25" s="143" t="s">
        <v>20</v>
      </c>
      <c r="Q25" s="165">
        <v>5936.7530000000006</v>
      </c>
      <c r="S25" s="130"/>
    </row>
    <row r="26" spans="2:19" ht="18">
      <c r="B26" s="99" t="s">
        <v>111</v>
      </c>
      <c r="C26" s="4" t="s">
        <v>46</v>
      </c>
      <c r="D26" s="134" t="s">
        <v>129</v>
      </c>
      <c r="M26"/>
      <c r="N26"/>
      <c r="S26" s="128"/>
    </row>
    <row r="27" spans="2:19" ht="18">
      <c r="B27" s="99" t="s">
        <v>111</v>
      </c>
      <c r="C27" s="4" t="s">
        <v>46</v>
      </c>
      <c r="D27" s="134" t="s">
        <v>49</v>
      </c>
      <c r="M27"/>
      <c r="N27"/>
    </row>
    <row r="28" spans="2:19" ht="18">
      <c r="B28" s="99" t="s">
        <v>111</v>
      </c>
      <c r="C28" s="4" t="s">
        <v>46</v>
      </c>
      <c r="D28" s="134" t="s">
        <v>50</v>
      </c>
      <c r="M28" s="142" t="s">
        <v>87</v>
      </c>
      <c r="N28" t="s">
        <v>133</v>
      </c>
      <c r="P28" s="142" t="s">
        <v>122</v>
      </c>
      <c r="Q28" t="s">
        <v>62</v>
      </c>
      <c r="S28" s="110"/>
    </row>
    <row r="29" spans="2:19" ht="18">
      <c r="B29" s="99" t="s">
        <v>111</v>
      </c>
      <c r="C29" s="4" t="s">
        <v>51</v>
      </c>
      <c r="D29" s="134" t="s">
        <v>52</v>
      </c>
      <c r="M29" s="143" t="s">
        <v>4</v>
      </c>
      <c r="N29" s="144">
        <v>1</v>
      </c>
      <c r="P29" s="143" t="s">
        <v>117</v>
      </c>
      <c r="Q29" s="144">
        <v>1</v>
      </c>
      <c r="S29" s="111"/>
    </row>
    <row r="30" spans="2:19" ht="18">
      <c r="B30" s="99" t="s">
        <v>111</v>
      </c>
      <c r="C30" s="4" t="s">
        <v>51</v>
      </c>
      <c r="D30" s="134" t="s">
        <v>53</v>
      </c>
      <c r="M30" s="143" t="s">
        <v>20</v>
      </c>
      <c r="N30" s="144">
        <v>1</v>
      </c>
      <c r="P30" s="143" t="s">
        <v>20</v>
      </c>
      <c r="Q30" s="144">
        <v>1</v>
      </c>
      <c r="S30" s="112"/>
    </row>
    <row r="31" spans="2:19" ht="18">
      <c r="B31" s="99" t="s">
        <v>111</v>
      </c>
      <c r="C31" s="4" t="s">
        <v>51</v>
      </c>
      <c r="D31" s="134" t="s">
        <v>54</v>
      </c>
      <c r="M31"/>
      <c r="N31"/>
      <c r="P31"/>
      <c r="Q31"/>
      <c r="S31" s="113"/>
    </row>
    <row r="32" spans="2:19" ht="18">
      <c r="B32" s="99" t="s">
        <v>111</v>
      </c>
      <c r="C32" s="4" t="s">
        <v>51</v>
      </c>
      <c r="D32" s="134" t="s">
        <v>55</v>
      </c>
      <c r="M32"/>
      <c r="N32"/>
      <c r="P32"/>
      <c r="Q32"/>
      <c r="S32" s="113"/>
    </row>
    <row r="33" spans="2:19" ht="18">
      <c r="B33" s="99" t="s">
        <v>111</v>
      </c>
      <c r="C33" s="4" t="s">
        <v>56</v>
      </c>
      <c r="D33" s="134" t="s">
        <v>57</v>
      </c>
      <c r="M33"/>
      <c r="N33"/>
      <c r="P33"/>
      <c r="Q33"/>
      <c r="S33" s="114"/>
    </row>
    <row r="34" spans="2:19" ht="18">
      <c r="B34" s="100" t="s">
        <v>111</v>
      </c>
      <c r="C34" s="135" t="s">
        <v>56</v>
      </c>
      <c r="D34" s="136" t="s">
        <v>58</v>
      </c>
      <c r="M34"/>
      <c r="N34"/>
      <c r="P34"/>
      <c r="Q34"/>
    </row>
    <row r="35" spans="2:19" ht="18">
      <c r="M35"/>
      <c r="N35"/>
      <c r="S35" s="137"/>
    </row>
    <row r="36" spans="2:19" ht="19.5">
      <c r="B36" s="133" t="s">
        <v>24</v>
      </c>
      <c r="C36" s="133" t="s">
        <v>76</v>
      </c>
      <c r="M36"/>
      <c r="N36"/>
      <c r="S36" s="138"/>
    </row>
    <row r="37" spans="2:19" ht="18">
      <c r="B37" s="4" t="s">
        <v>70</v>
      </c>
      <c r="C37" s="4" t="s">
        <v>77</v>
      </c>
      <c r="P37"/>
      <c r="Q37"/>
      <c r="S37" s="139"/>
    </row>
    <row r="38" spans="2:19" ht="18">
      <c r="B38" s="4" t="s">
        <v>71</v>
      </c>
      <c r="C38" s="4" t="s">
        <v>78</v>
      </c>
      <c r="P38"/>
      <c r="Q38"/>
      <c r="S38" s="140"/>
    </row>
    <row r="39" spans="2:19" ht="18">
      <c r="B39" s="4" t="s">
        <v>72</v>
      </c>
      <c r="C39" s="4" t="s">
        <v>79</v>
      </c>
      <c r="P39"/>
      <c r="Q39"/>
      <c r="S39" s="141"/>
    </row>
    <row r="40" spans="2:19" ht="18">
      <c r="B40" s="4" t="s">
        <v>73</v>
      </c>
      <c r="C40" s="4" t="s">
        <v>80</v>
      </c>
      <c r="P40"/>
      <c r="Q40"/>
    </row>
    <row r="41" spans="2:19" ht="18">
      <c r="B41" s="4" t="s">
        <v>74</v>
      </c>
      <c r="C41" s="4" t="s">
        <v>81</v>
      </c>
      <c r="P41"/>
      <c r="Q41"/>
      <c r="S41" s="145"/>
    </row>
    <row r="42" spans="2:19" ht="18">
      <c r="B42" s="4" t="s">
        <v>75</v>
      </c>
      <c r="C42" s="4" t="s">
        <v>82</v>
      </c>
      <c r="P42"/>
      <c r="Q42"/>
      <c r="S42" s="146"/>
    </row>
    <row r="43" spans="2:19" ht="18">
      <c r="P43"/>
      <c r="Q43"/>
      <c r="S43" s="147"/>
    </row>
    <row r="44" spans="2:19" ht="19.5">
      <c r="B44" s="133" t="s">
        <v>99</v>
      </c>
      <c r="C44" s="133" t="s">
        <v>110</v>
      </c>
      <c r="P44"/>
      <c r="Q44"/>
      <c r="S44" s="148"/>
    </row>
    <row r="45" spans="2:19" ht="18">
      <c r="B45" s="155" t="s">
        <v>2</v>
      </c>
      <c r="C45" s="4">
        <v>30</v>
      </c>
      <c r="P45"/>
      <c r="Q45"/>
      <c r="S45" s="149"/>
    </row>
    <row r="46" spans="2:19" ht="18">
      <c r="B46" s="155" t="s">
        <v>8</v>
      </c>
      <c r="C46" s="4">
        <v>90</v>
      </c>
      <c r="S46" s="150"/>
    </row>
    <row r="47" spans="2:19" ht="18">
      <c r="B47" s="155" t="s">
        <v>10</v>
      </c>
      <c r="C47" s="4">
        <v>150</v>
      </c>
      <c r="S47" s="151"/>
    </row>
    <row r="48" spans="2:19" ht="18">
      <c r="B48" s="155" t="s">
        <v>12</v>
      </c>
      <c r="C48" s="4">
        <v>180</v>
      </c>
      <c r="S48" s="152"/>
    </row>
    <row r="49" spans="2:19" ht="18">
      <c r="B49" s="155" t="s">
        <v>14</v>
      </c>
      <c r="C49" s="4">
        <v>270</v>
      </c>
      <c r="S49" s="154"/>
    </row>
    <row r="50" spans="2:19" ht="18">
      <c r="B50" s="155" t="s">
        <v>3</v>
      </c>
      <c r="C50" s="4">
        <v>360</v>
      </c>
      <c r="S50" s="153"/>
    </row>
    <row r="51" spans="2:19" ht="18">
      <c r="B51" s="155" t="s">
        <v>15</v>
      </c>
      <c r="C51" s="4">
        <v>720</v>
      </c>
      <c r="S51" s="153"/>
    </row>
    <row r="52" spans="2:19" ht="18">
      <c r="B52" s="155" t="s">
        <v>16</v>
      </c>
      <c r="C52" s="4">
        <v>1800</v>
      </c>
    </row>
    <row r="53" spans="2:19" ht="18">
      <c r="B53" s="155" t="s">
        <v>101</v>
      </c>
      <c r="C53" s="4">
        <v>0</v>
      </c>
    </row>
    <row r="55" spans="2:19" ht="19.5">
      <c r="B55" s="97" t="s">
        <v>0</v>
      </c>
    </row>
    <row r="56" spans="2:19" ht="18">
      <c r="B56" s="4" t="s">
        <v>117</v>
      </c>
    </row>
    <row r="57" spans="2:19" ht="18">
      <c r="B57" s="4" t="s">
        <v>118</v>
      </c>
    </row>
    <row r="58" spans="2:19" ht="18">
      <c r="B58" s="4" t="s">
        <v>61</v>
      </c>
    </row>
  </sheetData>
  <mergeCells count="1">
    <mergeCell ref="B2:D3"/>
  </mergeCells>
  <pageMargins left="0.7" right="0.7" top="0.75" bottom="0.75" header="0.3" footer="0.3"/>
  <pageSetup orientation="portrait" r:id="rId7"/>
  <tableParts count="6"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6DAB40ED-8CD4-457A-8A95-5EFB05AA365A}">
  <ds:schemaRefs/>
</ds:datastoreItem>
</file>

<file path=customXml/itemProps2.xml><?xml version="1.0" encoding="utf-8"?>
<ds:datastoreItem xmlns:ds="http://schemas.openxmlformats.org/officeDocument/2006/customXml" ds:itemID="{A9C54293-4F6F-40FA-BBDD-7C49DB7973BD}">
  <ds:schemaRefs/>
</ds:datastoreItem>
</file>

<file path=customXml/itemProps3.xml><?xml version="1.0" encoding="utf-8"?>
<ds:datastoreItem xmlns:ds="http://schemas.openxmlformats.org/officeDocument/2006/customXml" ds:itemID="{E96BCCBE-1F84-4F2C-9C9A-D977E632D3DA}">
  <ds:schemaRefs/>
</ds:datastoreItem>
</file>

<file path=customXml/itemProps4.xml><?xml version="1.0" encoding="utf-8"?>
<ds:datastoreItem xmlns:ds="http://schemas.openxmlformats.org/officeDocument/2006/customXml" ds:itemID="{D60EB840-12CC-4315-BBD5-55130D2A12DD}">
  <ds:schemaRefs/>
</ds:datastoreItem>
</file>

<file path=customXml/itemProps5.xml><?xml version="1.0" encoding="utf-8"?>
<ds:datastoreItem xmlns:ds="http://schemas.openxmlformats.org/officeDocument/2006/customXml" ds:itemID="{11377587-83CD-4B6D-8F92-2C6934A01459}">
  <ds:schemaRefs/>
</ds:datastoreItem>
</file>

<file path=customXml/itemProps6.xml><?xml version="1.0" encoding="utf-8"?>
<ds:datastoreItem xmlns:ds="http://schemas.openxmlformats.org/officeDocument/2006/customXml" ds:itemID="{B020A3AE-CB3E-447D-A57B-5314940BFFBF}">
  <ds:schemaRefs/>
</ds:datastoreItem>
</file>

<file path=customXml/itemProps7.xml><?xml version="1.0" encoding="utf-8"?>
<ds:datastoreItem xmlns:ds="http://schemas.openxmlformats.org/officeDocument/2006/customXml" ds:itemID="{E0DB74E5-83B8-4E3B-BD1C-58067D3EB2F8}">
  <ds:schemaRefs/>
</ds:datastoreItem>
</file>

<file path=customXml/itemProps8.xml><?xml version="1.0" encoding="utf-8"?>
<ds:datastoreItem xmlns:ds="http://schemas.openxmlformats.org/officeDocument/2006/customXml" ds:itemID="{23FA9DFD-88D4-428D-87F0-9D6441CA3DB9}">
  <ds:schemaRefs/>
</ds:datastoreItem>
</file>

<file path=customXml/itemProps9.xml><?xml version="1.0" encoding="utf-8"?>
<ds:datastoreItem xmlns:ds="http://schemas.openxmlformats.org/officeDocument/2006/customXml" ds:itemID="{33804194-3DE6-4330-A572-0EA4F867796E}">
  <ds:schemaRefs/>
</ds:datastoreItem>
</file>

<file path=customXml/itemProps10.xml><?xml version="1.0" encoding="utf-8"?>
<ds:datastoreItem xmlns:ds="http://schemas.openxmlformats.org/officeDocument/2006/customXml" ds:itemID="{BBBFF6DF-96BA-4240-850A-34BB83ACEF53}">
  <ds:schemaRefs/>
</ds:datastoreItem>
</file>

<file path=customXml/itemProps11.xml><?xml version="1.0" encoding="utf-8"?>
<ds:datastoreItem xmlns:ds="http://schemas.openxmlformats.org/officeDocument/2006/customXml" ds:itemID="{49A5A4C0-1EC7-4046-8904-CAF2DD4F6E13}">
  <ds:schemaRefs/>
</ds:datastoreItem>
</file>

<file path=customXml/itemProps12.xml><?xml version="1.0" encoding="utf-8"?>
<ds:datastoreItem xmlns:ds="http://schemas.openxmlformats.org/officeDocument/2006/customXml" ds:itemID="{5DAEA5FD-51E5-4B6A-B586-409C3C371703}">
  <ds:schemaRefs/>
</ds:datastoreItem>
</file>

<file path=customXml/itemProps13.xml><?xml version="1.0" encoding="utf-8"?>
<ds:datastoreItem xmlns:ds="http://schemas.openxmlformats.org/officeDocument/2006/customXml" ds:itemID="{3FE56014-155A-481A-AC04-34BBCEE5A8C1}">
  <ds:schemaRefs/>
</ds:datastoreItem>
</file>

<file path=customXml/itemProps14.xml><?xml version="1.0" encoding="utf-8"?>
<ds:datastoreItem xmlns:ds="http://schemas.openxmlformats.org/officeDocument/2006/customXml" ds:itemID="{78AC00B2-E877-45DE-B30C-346A2645B3AD}">
  <ds:schemaRefs/>
</ds:datastoreItem>
</file>

<file path=customXml/itemProps15.xml><?xml version="1.0" encoding="utf-8"?>
<ds:datastoreItem xmlns:ds="http://schemas.openxmlformats.org/officeDocument/2006/customXml" ds:itemID="{7B853AC2-84D5-40E1-B5D3-3391677F5E1B}">
  <ds:schemaRefs/>
</ds:datastoreItem>
</file>

<file path=customXml/itemProps16.xml><?xml version="1.0" encoding="utf-8"?>
<ds:datastoreItem xmlns:ds="http://schemas.openxmlformats.org/officeDocument/2006/customXml" ds:itemID="{82203D0F-C062-47A8-830C-D46426E82A33}">
  <ds:schemaRefs/>
</ds:datastoreItem>
</file>

<file path=customXml/itemProps17.xml><?xml version="1.0" encoding="utf-8"?>
<ds:datastoreItem xmlns:ds="http://schemas.openxmlformats.org/officeDocument/2006/customXml" ds:itemID="{FFC5FCC3-4298-4A89-B443-403DB243FFA1}">
  <ds:schemaRefs/>
</ds:datastoreItem>
</file>

<file path=customXml/itemProps18.xml><?xml version="1.0" encoding="utf-8"?>
<ds:datastoreItem xmlns:ds="http://schemas.openxmlformats.org/officeDocument/2006/customXml" ds:itemID="{196248BC-048C-4A52-8B55-D6E24548EB5A}">
  <ds:schemaRefs/>
</ds:datastoreItem>
</file>

<file path=customXml/itemProps19.xml><?xml version="1.0" encoding="utf-8"?>
<ds:datastoreItem xmlns:ds="http://schemas.openxmlformats.org/officeDocument/2006/customXml" ds:itemID="{ACB0B3CC-EEFE-48CD-A542-2E15D60F4E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transactions</vt:lpstr>
      <vt:lpstr>debts</vt:lpstr>
      <vt:lpstr>finance</vt:lpstr>
      <vt:lpstr>database</vt:lpstr>
      <vt:lpstr>dashboard!Criteria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Mink Lee</dc:creator>
  <cp:keywords/>
  <dc:description/>
  <cp:lastModifiedBy>Minh Lee</cp:lastModifiedBy>
  <cp:revision/>
  <dcterms:created xsi:type="dcterms:W3CDTF">2022-08-02T03:02:19Z</dcterms:created>
  <dcterms:modified xsi:type="dcterms:W3CDTF">2026-08-26T07:39:34Z</dcterms:modified>
  <cp:category/>
  <cp:contentStatus/>
</cp:coreProperties>
</file>